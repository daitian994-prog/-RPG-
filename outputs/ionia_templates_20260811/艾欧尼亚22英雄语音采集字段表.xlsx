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7ceaef621f40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79470fb6cfd94f7f"/>
    <x:sheet xmlns:r="http://schemas.openxmlformats.org/officeDocument/2006/relationships" name="游戏属性引用" sheetId="2" r:id="R26863c7a70064518"/>
    <x:sheet xmlns:r="http://schemas.openxmlformats.org/officeDocument/2006/relationships" name="角色声线规格" sheetId="3" r:id="R938750cc4ae04cae"/>
    <x:sheet xmlns:r="http://schemas.openxmlformats.org/officeDocument/2006/relationships" name="英雄游戏台词" sheetId="4" r:id="R0b1369c2cf154dda"/>
    <x:sheet xmlns:r="http://schemas.openxmlformats.org/officeDocument/2006/relationships" name="台词覆盖汇总" sheetId="5" r:id="Rfdf05c019c6347d1"/>
    <x:sheet xmlns:r="http://schemas.openxmlformats.org/officeDocument/2006/relationships" name="字段字典" sheetId="6" r:id="Rdf47eb111084471c"/>
    <x:sheet xmlns:r="http://schemas.openxmlformats.org/officeDocument/2006/relationships" name="场景与审核标准" sheetId="7" r:id="Re7f4496d2cc543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%"/>
  </x:numFmts>
  <x:fonts count="5">
    <x:font>
      <x:sz val="11"/>
      <x:name val="Carlito"/>
    </x:font>
    <x:font>
      <x:b/>
      <x:sz val="18"/>
      <x:color rgb="FFFFFFFF"/>
      <x:name val="Carlito"/>
    </x:font>
    <x:font>
      <x:sz val="10"/>
      <x:color rgb="FFC9D8D1"/>
      <x:name val="Carlito"/>
    </x:font>
    <x:font>
      <x:b/>
      <x:sz val="10"/>
      <x:color rgb="FFFFFFFF"/>
      <x:name val="Carlito"/>
    </x:font>
    <x:font>
      <x:sz val="9"/>
      <x:color rgb="FF26352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0201D"/>
      </x:patternFill>
    </x:fill>
    <x:fill>
      <x:patternFill patternType="solid">
        <x:fgColor rgb="FF17332E"/>
      </x:patternFill>
    </x:fill>
    <x:fill>
      <x:patternFill patternType="solid">
        <x:fgColor rgb="FF2F675B"/>
      </x:patternFill>
    </x:fill>
    <x:fill>
      <x:patternFill patternType="solid">
        <x:fgColor rgb="FFEEF4F0"/>
      </x:patternFill>
    </x:fill>
    <x:fill>
      <x:patternFill patternType="solid">
        <x:fgColor rgb="FFE8EFF4"/>
      </x:patternFill>
    </x:fill>
    <x:fill>
      <x:patternFill patternType="solid">
        <x:fgColor rgb="FFFBF5E6"/>
      </x:patternFill>
    </x:fill>
    <x:fill>
      <x:patternFill patternType="solid">
        <x:fgColor rgb="FFEEE8F5"/>
      </x:patternFill>
    </x:fill>
    <x:fill>
      <x:patternFill patternType="solid">
        <x:fgColor rgb="FFF2F3F0"/>
      </x:patternFill>
    </x:fill>
  </x:fills>
  <x:borders count="5">
    <x:border/>
    <x:border>
      <x:bottom style="medium">
        <x:color rgb="FFC8A45A"/>
      </x:bottom>
    </x:border>
    <x:border>
      <x:bottom style="thin">
        <x:color rgb="FFC9D4CD"/>
      </x:bottom>
    </x:border>
    <x:border>
      <x:top style="thin">
        <x:color rgb="FFC9D4CD"/>
      </x:top>
      <x:bottom style="thin">
        <x:color rgb="FFC9D4CD"/>
      </x:bottom>
    </x:border>
    <x:border>
      <x:top style="thin">
        <x:color rgb="FFC9D4CD"/>
      </x:top>
    </x:border>
  </x:borders>
  <x:cellStyleXfs count="1">
    <x:xf numFmtId="0" fontId="0" fillId="0" borderId="0"/>
  </x:cellStyleXfs>
  <x:cellXfs count="5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5" borderId="2" xfId="0" applyNumberFormat="1" applyFont="1" applyFill="1" applyBorder="1" applyAlignment="1">
      <x:alignment vertical="top" wrapText="1"/>
    </x:xf>
    <x:xf numFmtId="0" fontId="4" fillId="5" borderId="3" xfId="0" applyNumberFormat="1" applyFont="1" applyFill="1" applyBorder="1" applyAlignment="1">
      <x:alignment vertical="top" wrapText="1"/>
    </x:xf>
    <x:xf numFmtId="0" fontId="4" fillId="5" borderId="4" xfId="0" applyNumberFormat="1" applyFont="1" applyFill="1" applyBorder="1" applyAlignment="1">
      <x:alignment vertical="top" wrapText="1"/>
    </x:xf>
    <x:xf numFmtId="0" fontId="4" fillId="6" borderId="2" xfId="0" applyNumberFormat="1" applyFont="1" applyFill="1" applyBorder="1" applyAlignment="1">
      <x:alignment vertical="top" wrapText="1"/>
    </x:xf>
    <x:xf numFmtId="0" fontId="4" fillId="6" borderId="3" xfId="0" applyNumberFormat="1" applyFont="1" applyFill="1" applyBorder="1" applyAlignment="1">
      <x:alignment vertical="top" wrapText="1"/>
    </x:xf>
    <x:xf numFmtId="0" fontId="4" fillId="6" borderId="4" xfId="0" applyNumberFormat="1" applyFont="1" applyFill="1" applyBorder="1" applyAlignment="1">
      <x:alignment vertical="top" wrapText="1"/>
    </x:xf>
    <x:xf numFmtId="0" fontId="4" fillId="7" borderId="2" xfId="0" applyNumberFormat="1" applyFont="1" applyFill="1" applyBorder="1" applyAlignment="1">
      <x:alignment vertical="top" wrapText="1"/>
    </x:xf>
    <x:xf numFmtId="0" fontId="4" fillId="7" borderId="3" xfId="0" applyNumberFormat="1" applyFont="1" applyFill="1" applyBorder="1" applyAlignment="1">
      <x:alignment vertical="top" wrapText="1"/>
    </x:xf>
    <x:xf numFmtId="0" fontId="4" fillId="7" borderId="4" xfId="0" applyNumberFormat="1" applyFont="1" applyFill="1" applyBorder="1" applyAlignment="1">
      <x:alignment vertical="top" wrapText="1"/>
    </x:xf>
    <x:xf numFmtId="0" fontId="4" fillId="8" borderId="2" xfId="0" applyNumberFormat="1" applyFont="1" applyFill="1" applyBorder="1" applyAlignment="1">
      <x:alignment vertical="top" wrapText="1"/>
    </x:xf>
    <x:xf numFmtId="0" fontId="4" fillId="8" borderId="3" xfId="0" applyNumberFormat="1" applyFont="1" applyFill="1" applyBorder="1" applyAlignment="1">
      <x:alignment vertical="top" wrapText="1"/>
    </x:xf>
    <x:xf numFmtId="0" fontId="4" fillId="8" borderId="4" xfId="0" applyNumberFormat="1" applyFont="1" applyFill="1" applyBorder="1" applyAlignment="1">
      <x:alignment vertical="top" wrapText="1"/>
    </x:xf>
    <x:xf numFmtId="0" fontId="4" fillId="9" borderId="2" xfId="0" applyNumberFormat="1" applyFont="1" applyFill="1" applyBorder="1" applyAlignment="1">
      <x:alignment vertical="top" wrapText="1"/>
    </x:xf>
    <x:xf numFmtId="0" fontId="4" fillId="9" borderId="3" xfId="0" applyNumberFormat="1" applyFont="1" applyFill="1" applyBorder="1" applyAlignment="1">
      <x:alignment vertical="top" wrapText="1"/>
    </x:xf>
    <x:xf numFmtId="0" fontId="4" fillId="9" borderId="4" xfId="0" applyNumberFormat="1" applyFont="1" applyFill="1" applyBorder="1" applyAlignment="1">
      <x:alignment vertical="top" wrapText="1"/>
    </x:xf>
    <x:xf numFmtId="200" fontId="4" fillId="6" borderId="2" xfId="0" applyNumberFormat="1" applyFont="1" applyFill="1" applyBorder="1" applyAlignment="1">
      <x:alignment vertical="top" wrapText="1"/>
    </x:xf>
    <x:xf numFmtId="200" fontId="4" fillId="7" borderId="2" xfId="0" applyNumberFormat="1" applyFont="1" applyFill="1" applyBorder="1" applyAlignment="1">
      <x:alignment vertical="top" wrapText="1"/>
    </x:xf>
    <x:xf numFmtId="200" fontId="4" fillId="8" borderId="2" xfId="0" applyNumberFormat="1" applyFont="1" applyFill="1" applyBorder="1" applyAlignment="1">
      <x:alignment vertical="top" wrapText="1"/>
    </x:xf>
    <x:xf numFmtId="200" fontId="4" fillId="6" borderId="3" xfId="0" applyNumberFormat="1" applyFont="1" applyFill="1" applyBorder="1" applyAlignment="1">
      <x:alignment vertical="top" wrapText="1"/>
    </x:xf>
    <x:xf numFmtId="200" fontId="4" fillId="7" borderId="3" xfId="0" applyNumberFormat="1" applyFont="1" applyFill="1" applyBorder="1" applyAlignment="1">
      <x:alignment vertical="top" wrapText="1"/>
    </x:xf>
    <x:xf numFmtId="200" fontId="4" fillId="8" borderId="3" xfId="0" applyNumberFormat="1" applyFont="1" applyFill="1" applyBorder="1" applyAlignment="1">
      <x:alignment vertical="top" wrapText="1"/>
    </x:xf>
    <x:xf numFmtId="200" fontId="4" fillId="6" borderId="4" xfId="0" applyNumberFormat="1" applyFont="1" applyFill="1" applyBorder="1" applyAlignment="1">
      <x:alignment vertical="top" wrapText="1"/>
    </x:xf>
    <x:xf numFmtId="200" fontId="4" fillId="7" borderId="4" xfId="0" applyNumberFormat="1" applyFont="1" applyFill="1" applyBorder="1" applyAlignment="1">
      <x:alignment vertical="top" wrapText="1"/>
    </x:xf>
    <x:xf numFmtId="200" fontId="4" fillId="8" borderId="4" xfId="0" applyNumberFormat="1" applyFont="1" applyFill="1" applyBorder="1" applyAlignment="1">
      <x:alignment vertical="top" wrapText="1"/>
    </x:xf>
    <x:xf numFmtId="201" fontId="4" fillId="0" borderId="2" xfId="0" applyNumberFormat="1" applyFont="1" applyFill="1" applyBorder="1" applyAlignment="1">
      <x:alignment vertical="top" wrapText="1"/>
    </x:xf>
    <x:xf numFmtId="201" fontId="4" fillId="0" borderId="3" xfId="0" applyNumberFormat="1" applyFont="1" applyFill="1" applyBorder="1" applyAlignment="1">
      <x:alignment vertical="top" wrapText="1"/>
    </x:xf>
    <x:xf numFmtId="201" fontId="4" fillId="0" borderId="4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ont>
        <x:color rgb="FF7A5A15"/>
      </x:font>
      <x:fill>
        <x:patternFill patternType="solid">
          <x:bgColor rgb="FFFFF0C7"/>
        </x:patternFill>
      </x:fill>
    </x:dxf>
    <x:dxf>
      <x:font>
        <x:color rgb="FF295B36"/>
      </x:font>
      <x:fill>
        <x:patternFill patternType="solid">
          <x:bgColor rgb="FFDCEEDD"/>
        </x:patternFill>
      </x:fill>
    </x:dxf>
    <x:dxf>
      <x:font>
        <x:color rgb="FF295B36"/>
      </x:font>
      <x:fill>
        <x:patternFill patternType="solid">
          <x:bgColor rgb="FFDCEEDD"/>
        </x:patternFill>
      </x:fill>
    </x:dxf>
    <x:dxf>
      <x:font>
        <x:color rgb="FF8A372C"/>
      </x:font>
      <x:fill>
        <x:patternFill patternType="solid">
          <x:bgColor rgb="FFF4D7D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214a3afdaf47cc" /><Relationship Type="http://schemas.openxmlformats.org/officeDocument/2006/relationships/theme" Target="/xl/theme/theme1.xml" Id="Rffc99118ad154583" /><Relationship Type="http://schemas.openxmlformats.org/officeDocument/2006/relationships/sharedStrings" Target="/xl/sharedStrings.xml" Id="R1fc997abe2d24221" /><Relationship Type="http://schemas.openxmlformats.org/officeDocument/2006/relationships/worksheet" Target="/xl/worksheets/sheet1.xml" Id="R79470fb6cfd94f7f" /><Relationship Type="http://schemas.openxmlformats.org/officeDocument/2006/relationships/worksheet" Target="/xl/worksheets/sheet2.xml" Id="R26863c7a70064518" /><Relationship Type="http://schemas.openxmlformats.org/officeDocument/2006/relationships/worksheet" Target="/xl/worksheets/sheet3.xml" Id="R938750cc4ae04cae" /><Relationship Type="http://schemas.openxmlformats.org/officeDocument/2006/relationships/worksheet" Target="/xl/worksheets/sheet4.xml" Id="R0b1369c2cf154dda" /><Relationship Type="http://schemas.openxmlformats.org/officeDocument/2006/relationships/worksheet" Target="/xl/worksheets/sheet5.xml" Id="Rfdf05c019c6347d1" /><Relationship Type="http://schemas.openxmlformats.org/officeDocument/2006/relationships/worksheet" Target="/xl/worksheets/sheet6.xml" Id="Rdf47eb111084471c" /><Relationship Type="http://schemas.openxmlformats.org/officeDocument/2006/relationships/worksheet" Target="/xl/worksheets/sheet7.xml" Id="Re7f4496d2cc5432b" /></Relationships>
</file>

<file path=xl/tables/table1.xml><?xml version="1.0" encoding="utf-8"?>
<x:table xmlns:x="http://schemas.openxmlformats.org/spreadsheetml/2006/main" id="1" name="VoiceGameStatsTable" displayName="VoiceGameStatsTable" ref="A4:Z26" headerRowCount="1" totalsRowCount="0" totalsRowShown="0">
  <x:tableColumns count="26">
    <x:tableColumn id="1" name="英雄ID hero_id"/>
    <x:tableColumn id="2" name="英雄名"/>
    <x:tableColumn id="3" name="称号"/>
    <x:tableColumn id="4" name="战斗定位"/>
    <x:tableColumn id="5" name="平衡级别"/>
    <x:tableColumn id="6" name="当前生命 hp"/>
    <x:tableColumn id="7" name="生命上限 max_hp"/>
    <x:tableColumn id="8" name="攻击力 attack"/>
    <x:tableColumn id="9" name="防御力 defense"/>
    <x:tableColumn id="10" name="法术强度 magic_power"/>
    <x:tableColumn id="11" name="魔法抗性 magic_resist"/>
    <x:tableColumn id="12" name="攻击速度 attack_speed"/>
    <x:tableColumn id="13" name="技能急速 skill_haste"/>
    <x:tableColumn id="14" name="战斗经验 combat_xp"/>
    <x:tableColumn id="15" name="和平倾向 peace"/>
    <x:tableColumn id="16" name="力量观 power"/>
    <x:tableColumn id="17" name="自由倾向 freedom"/>
    <x:tableColumn id="18" name="灵性亲和 spirit"/>
    <x:tableColumn id="19" name="命运态度 destiny"/>
    <x:tableColumn id="20" name="守护命运 guardian"/>
    <x:tableColumn id="21" name="强者命运 strong"/>
    <x:tableColumn id="22" name="流浪命运 wanderer"/>
    <x:tableColumn id="23" name="灵界命运 spirit_fate"/>
    <x:tableColumn id="24" name="破局命运 breaker"/>
    <x:tableColumn id="25" name="换算依据"/>
    <x:tableColumn id="26" name="审核状态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VoiceSpecTable" displayName="VoiceSpecTable" ref="A4:P26" headerRowCount="1" totalsRowCount="0" totalsRowShown="0">
  <x:tableColumns count="16">
    <x:tableColumn id="1" name="英雄ID"/>
    <x:tableColumn id="2" name="英雄名"/>
    <x:tableColumn id="3" name="称号"/>
    <x:tableColumn id="4" name="年龄感/身份感"/>
    <x:tableColumn id="5" name="音高"/>
    <x:tableColumn id="6" name="语速"/>
    <x:tableColumn id="7" name="音色关键词"/>
    <x:tableColumn id="8" name="咬字方式"/>
    <x:tableColumn id="9" name="呼吸特征"/>
    <x:tableColumn id="10" name="情绪跨度"/>
    <x:tableColumn id="11" name="战斗状态变化"/>
    <x:tableColumn id="12" name="禁用表演方向"/>
    <x:tableColumn id="13" name="参考人格摘要"/>
    <x:tableColumn id="14" name="官方资料URL"/>
    <x:tableColumn id="15" name="审核状态"/>
    <x:tableColumn id="16" name="导演备注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HeroDialogueTable" displayName="HeroDialogueTable" ref="A4:Y268" headerRowCount="1" totalsRowCount="0" totalsRowShown="0">
  <x:tableColumns count="25">
    <x:tableColumn id="1" name="台词ID line_id"/>
    <x:tableColumn id="2" name="英雄ID hero_id"/>
    <x:tableColumn id="3" name="英雄名"/>
    <x:tableColumn id="4" name="场景代码 scene_code"/>
    <x:tableColumn id="5" name="场景名称"/>
    <x:tableColumn id="6" name="触发条件"/>
    <x:tableColumn id="7" name="对话对象"/>
    <x:tableColumn id="8" name="主情绪"/>
    <x:tableColumn id="9" name="次情绪"/>
    <x:tableColumn id="10" name="强度1-5"/>
    <x:tableColumn id="11" name="游戏内中文台词 text_cn"/>
    <x:tableColumn id="12" name="语气与表演提示"/>
    <x:tableColumn id="13" name="建议时长秒"/>
    <x:tableColumn id="14" name="关系值下限"/>
    <x:tableColumn id="15" name="章节限制"/>
    <x:tableColumn id="16" name="地点限制"/>
    <x:tableColumn id="17" name="是否一次性"/>
    <x:tableColumn id="18" name="触发权重"/>
    <x:tableColumn id="19" name="关联人格键"/>
    <x:tableColumn id="20" name="关联命运键"/>
    <x:tableColumn id="21" name="冷却事件数"/>
    <x:tableColumn id="22" name="音频文件名"/>
    <x:tableColumn id="23" name="审核状态"/>
    <x:tableColumn id="24" name="审核备注"/>
    <x:tableColumn id="25" name="官方资料URL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4260df204a6458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89332d96a2f4d3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fb24e8204814f6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4" hidden="0" customWidth="1"/>
  </x:cols>
  <x:sheetData>
    <x:row r="1" ht="32" customHeight="1">
      <x:c r="A1" s="3" t="str">
        <x:v>艾欧尼亚22英雄游戏台词数据库</x:v>
      </x:c>
      <x:c r="B1" s="3"/>
      <x:c r="C1" s="3"/>
      <x:c r="D1" s="3"/>
      <x:c r="E1" s="3"/>
      <x:c r="F1" s="3"/>
      <x:c r="G1" s="3"/>
      <x:c r="H1" s="3"/>
    </x:row>
    <x:row r="2" ht="34" customHeight="1">
      <x:c r="A2" s="7" t="str">
        <x:v>用于 RPG 内英雄对话、事件触发与后端台词检索。已预填22位英雄 × 12种场景的264条原创中文台词。版本 V2.0</x:v>
      </x:c>
      <x:c r="B2" s="7"/>
      <x:c r="C2" s="7"/>
      <x:c r="D2" s="7"/>
      <x:c r="E2" s="7"/>
      <x:c r="F2" s="7"/>
      <x:c r="G2" s="7"/>
      <x:c r="H2" s="7"/>
    </x:row>
    <x:row r="4">
      <x:c r="A4" s="12" t="str">
        <x:v>模块</x:v>
      </x:c>
      <x:c r="B4" s="12" t="str">
        <x:v>使用方法</x:v>
      </x:c>
    </x:row>
    <x:row r="5" ht="40" customHeight="1">
      <x:c r="A5" s="20" t="str">
        <x:v>游戏属性引用</x:v>
      </x:c>
      <x:c r="B5" s="20" t="str">
        <x:v>与人格模板完全相同的 attributes、personality、fate_weights，用于确定战斗、性格和命运台词。</x:v>
      </x:c>
    </x:row>
    <x:row r="6" ht="40" customHeight="1">
      <x:c r="A6" s="21" t="str">
        <x:v>英雄游戏台词</x:v>
      </x:c>
      <x:c r="B6" s="21" t="str">
        <x:v>主数据表：每行是一条可直接进入游戏的台词，包含关系门槛、触发条件、人格键和命运键。</x:v>
      </x:c>
    </x:row>
    <x:row r="7" ht="40" customHeight="1">
      <x:c r="A7" s="21" t="str">
        <x:v>角色声线规格</x:v>
      </x:c>
      <x:c r="B7" s="21" t="str">
        <x:v>约束台词节奏、用词和情绪表现，不要求模仿现有官方配音。</x:v>
      </x:c>
    </x:row>
    <x:row r="8" ht="40" customHeight="1">
      <x:c r="A8" s="21" t="str">
        <x:v>台词覆盖汇总</x:v>
      </x:c>
      <x:c r="B8" s="21" t="str">
        <x:v>自动统计每位英雄的台词填写、审核和游戏录入进度。</x:v>
      </x:c>
    </x:row>
    <x:row r="9" ht="40" customHeight="1">
      <x:c r="A9" s="21" t="str">
        <x:v>场景与审核标准</x:v>
      </x:c>
      <x:c r="B9" s="21" t="str">
        <x:v>定义12类核心场景以及原创性、人物一致性和第一人称交互要求。</x:v>
      </x:c>
    </x:row>
    <x:row r="10" ht="40" customHeight="1">
      <x:c r="A10" s="21" t="str">
        <x:v>版权要求</x:v>
      </x:c>
      <x:c r="B10" s="21" t="str">
        <x:v>所有台词均为本项目原创，不复制《英雄联盟》现有语音或故事原句。</x:v>
      </x:c>
    </x:row>
    <x:row r="11" ht="40" customHeight="1">
      <x:c r="A11" s="22" t="str">
        <x:v>22人范围</x:v>
      </x:c>
      <x:c r="B11" s="22" t="str">
        <x:v>与人格模板一致，暂不包含芸阿娜。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1" hidden="0" customWidth="1"/>
    <x:col min="3" max="3" width="14" hidden="0" customWidth="1"/>
    <x:col min="4" max="4" width="16" hidden="0" customWidth="1"/>
    <x:col min="5" max="5" width="12" hidden="0" customWidth="1"/>
    <x:col min="6" max="6" width="14" hidden="0" customWidth="1"/>
    <x:col min="7" max="7" width="17" hidden="0" customWidth="1"/>
    <x:col min="8" max="8" width="14" hidden="0" customWidth="1"/>
    <x:col min="9" max="9" width="14" hidden="0" customWidth="1"/>
    <x:col min="10" max="10" width="19" hidden="0" customWidth="1"/>
    <x:col min="11" max="11" width="19" hidden="0" customWidth="1"/>
    <x:col min="12" max="12" width="19" hidden="0" customWidth="1"/>
    <x:col min="13" max="13" width="18" hidden="0" customWidth="1"/>
    <x:col min="14" max="14" width="18" hidden="0" customWidth="1"/>
    <x:col min="15" max="15" width="16" hidden="0" customWidth="1"/>
    <x:col min="16" max="16" width="14" hidden="0" customWidth="1"/>
    <x:col min="17" max="17" width="16" hidden="0" customWidth="1"/>
    <x:col min="18" max="18" width="16" hidden="0" customWidth="1"/>
    <x:col min="19" max="19" width="16" hidden="0" customWidth="1"/>
    <x:col min="20" max="20" width="18" hidden="0" customWidth="1"/>
    <x:col min="21" max="21" width="17" hidden="0" customWidth="1"/>
    <x:col min="22" max="22" width="19" hidden="0" customWidth="1"/>
    <x:col min="23" max="23" width="20" hidden="0" customWidth="1"/>
    <x:col min="24" max="24" width="18" hidden="0" customWidth="1"/>
    <x:col min="25" max="25" width="48" hidden="0" customWidth="1"/>
    <x:col min="26" max="26" width="14" hidden="0" customWidth="1"/>
  </x:cols>
  <x:sheetData>
    <x:row r="1" ht="32" customHeight="1">
      <x:c r="A1" s="3" t="str">
        <x:v>22位英雄游戏属性标准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34" customHeight="1">
      <x:c r="A2" s="7" t="str">
        <x:v>完全对应当前游戏 player 数据结构。命运权重按后端规则由五维人格自动计算：对应人格值 + 10；英雄战斗数值以第一章 BOSS（180生命/30攻击/22防御/15魔抗）为校准参照。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</x:row>
    <x:row r="4" ht="46" customHeight="1">
      <x:c r="A4" s="12" t="str">
        <x:v>英雄ID hero_id</x:v>
      </x:c>
      <x:c r="B4" s="12" t="str">
        <x:v>英雄名</x:v>
      </x:c>
      <x:c r="C4" s="12" t="str">
        <x:v>称号</x:v>
      </x:c>
      <x:c r="D4" s="12" t="str">
        <x:v>战斗定位</x:v>
      </x:c>
      <x:c r="E4" s="12" t="str">
        <x:v>平衡级别</x:v>
      </x:c>
      <x:c r="F4" s="12" t="str">
        <x:v>当前生命 hp</x:v>
      </x:c>
      <x:c r="G4" s="12" t="str">
        <x:v>生命上限 max_hp</x:v>
      </x:c>
      <x:c r="H4" s="12" t="str">
        <x:v>攻击力 attack</x:v>
      </x:c>
      <x:c r="I4" s="12" t="str">
        <x:v>防御力 defense</x:v>
      </x:c>
      <x:c r="J4" s="12" t="str">
        <x:v>法术强度 magic_power</x:v>
      </x:c>
      <x:c r="K4" s="12" t="str">
        <x:v>魔法抗性 magic_resist</x:v>
      </x:c>
      <x:c r="L4" s="12" t="str">
        <x:v>攻击速度 attack_speed</x:v>
      </x:c>
      <x:c r="M4" s="12" t="str">
        <x:v>技能急速 skill_haste</x:v>
      </x:c>
      <x:c r="N4" s="12" t="str">
        <x:v>战斗经验 combat_xp</x:v>
      </x:c>
      <x:c r="O4" s="12" t="str">
        <x:v>和平倾向 peace</x:v>
      </x:c>
      <x:c r="P4" s="12" t="str">
        <x:v>力量观 power</x:v>
      </x:c>
      <x:c r="Q4" s="12" t="str">
        <x:v>自由倾向 freedom</x:v>
      </x:c>
      <x:c r="R4" s="12" t="str">
        <x:v>灵性亲和 spirit</x:v>
      </x:c>
      <x:c r="S4" s="12" t="str">
        <x:v>命运态度 destiny</x:v>
      </x:c>
      <x:c r="T4" s="12" t="str">
        <x:v>守护命运 guardian</x:v>
      </x:c>
      <x:c r="U4" s="12" t="str">
        <x:v>强者命运 strong</x:v>
      </x:c>
      <x:c r="V4" s="12" t="str">
        <x:v>流浪命运 wanderer</x:v>
      </x:c>
      <x:c r="W4" s="12" t="str">
        <x:v>灵界命运 spirit_fate</x:v>
      </x:c>
      <x:c r="X4" s="12" t="str">
        <x:v>破局命运 breaker</x:v>
      </x:c>
      <x:c r="Y4" s="12" t="str">
        <x:v>换算依据</x:v>
      </x:c>
      <x:c r="Z4" s="12" t="str">
        <x:v>审核状态</x:v>
      </x:c>
    </x:row>
    <x:row r="5" ht="54" customHeight="1">
      <x:c r="A5" s="23" t="str">
        <x:v>ahri</x:v>
      </x:c>
      <x:c r="B5" s="23" t="str">
        <x:v>阿狸</x:v>
      </x:c>
      <x:c r="C5" s="23" t="str">
        <x:v>九尾妖狐</x:v>
      </x:c>
      <x:c r="D5" s="23" t="str">
        <x:v>法术游击</x:v>
      </x:c>
      <x:c r="E5" s="23" t="str">
        <x:v>英雄</x:v>
      </x:c>
      <x:c r="F5" s="38" t="n">
        <x:f>G5</x:f>
        <x:v>145</x:v>
      </x:c>
      <x:c r="G5" s="38" t="n">
        <x:v>145</x:v>
      </x:c>
      <x:c r="H5" s="38" t="n">
        <x:v>22</x:v>
      </x:c>
      <x:c r="I5" s="38" t="n">
        <x:v>16</x:v>
      </x:c>
      <x:c r="J5" s="38" t="n">
        <x:v>31</x:v>
      </x:c>
      <x:c r="K5" s="38" t="n">
        <x:v>25</x:v>
      </x:c>
      <x:c r="L5" s="38" t="n">
        <x:v>24</x:v>
      </x:c>
      <x:c r="M5" s="38" t="n">
        <x:v>20</x:v>
      </x:c>
      <x:c r="N5" s="38" t="n">
        <x:v>90</x:v>
      </x:c>
      <x:c r="O5" s="39" t="n">
        <x:v>55</x:v>
      </x:c>
      <x:c r="P5" s="39" t="n">
        <x:v>35</x:v>
      </x:c>
      <x:c r="Q5" s="39" t="n">
        <x:v>82</x:v>
      </x:c>
      <x:c r="R5" s="39" t="n">
        <x:v>78</x:v>
      </x:c>
      <x:c r="S5" s="39" t="n">
        <x:v>64</x:v>
      </x:c>
      <x:c r="T5" s="40" t="n">
        <x:f>10+O5</x:f>
        <x:v>65</x:v>
      </x:c>
      <x:c r="U5" s="40" t="n">
        <x:f>10+P5</x:f>
        <x:v>45</x:v>
      </x:c>
      <x:c r="V5" s="40" t="n">
        <x:f>10+Q5</x:f>
        <x:v>92</x:v>
      </x:c>
      <x:c r="W5" s="40" t="n">
        <x:f>10+R5</x:f>
        <x:v>88</x:v>
      </x:c>
      <x:c r="X5" s="40" t="n">
        <x:f>10+S5</x:f>
        <x:v>74</x:v>
      </x:c>
      <x:c r="Y5" s="35" t="str">
        <x:v>精神魔法、记忆感知与高机动，生存依赖控制距离</x:v>
      </x:c>
      <x:c r="Z5" s="35" t="str">
        <x:v>待平衡测试</x:v>
      </x:c>
    </x:row>
    <x:row r="6" ht="54" customHeight="1">
      <x:c r="A6" s="24" t="str">
        <x:v>akali</x:v>
      </x:c>
      <x:c r="B6" s="24" t="str">
        <x:v>阿卡丽</x:v>
      </x:c>
      <x:c r="C6" s="24" t="str">
        <x:v>离群之刺</x:v>
      </x:c>
      <x:c r="D6" s="24" t="str">
        <x:v>刺客</x:v>
      </x:c>
      <x:c r="E6" s="24" t="str">
        <x:v>精英</x:v>
      </x:c>
      <x:c r="F6" s="41" t="n">
        <x:f>G6</x:f>
        <x:v>135</x:v>
      </x:c>
      <x:c r="G6" s="41" t="n">
        <x:v>135</x:v>
      </x:c>
      <x:c r="H6" s="41" t="n">
        <x:v>28</x:v>
      </x:c>
      <x:c r="I6" s="41" t="n">
        <x:v>17</x:v>
      </x:c>
      <x:c r="J6" s="41" t="n">
        <x:v>18</x:v>
      </x:c>
      <x:c r="K6" s="41" t="n">
        <x:v>20</x:v>
      </x:c>
      <x:c r="L6" s="41" t="n">
        <x:v>31</x:v>
      </x:c>
      <x:c r="M6" s="41" t="n">
        <x:v>18</x:v>
      </x:c>
      <x:c r="N6" s="41" t="n">
        <x:v>88</x:v>
      </x:c>
      <x:c r="O6" s="42" t="n">
        <x:v>42</x:v>
      </x:c>
      <x:c r="P6" s="42" t="n">
        <x:v>48</x:v>
      </x:c>
      <x:c r="Q6" s="42" t="n">
        <x:v>92</x:v>
      </x:c>
      <x:c r="R6" s="42" t="n">
        <x:v>55</x:v>
      </x:c>
      <x:c r="S6" s="42" t="n">
        <x:v>78</x:v>
      </x:c>
      <x:c r="T6" s="43" t="n">
        <x:f>10+O6</x:f>
        <x:v>52</x:v>
      </x:c>
      <x:c r="U6" s="43" t="n">
        <x:f>10+P6</x:f>
        <x:v>58</x:v>
      </x:c>
      <x:c r="V6" s="43" t="n">
        <x:f>10+Q6</x:f>
        <x:v>102</x:v>
      </x:c>
      <x:c r="W6" s="43" t="n">
        <x:f>10+R6</x:f>
        <x:v>65</x:v>
      </x:c>
      <x:c r="X6" s="43" t="n">
        <x:f>10+S6</x:f>
        <x:v>88</x:v>
      </x:c>
      <x:c r="Y6" s="36" t="str">
        <x:v>高速近战与烟雾突袭，防御低于正面战士</x:v>
      </x:c>
      <x:c r="Z6" s="36" t="str">
        <x:v>待平衡测试</x:v>
      </x:c>
    </x:row>
    <x:row r="7" ht="54" customHeight="1">
      <x:c r="A7" s="24" t="str">
        <x:v>hwei</x:v>
      </x:c>
      <x:c r="B7" s="24" t="str">
        <x:v>惠</x:v>
      </x:c>
      <x:c r="C7" s="24" t="str">
        <x:v>异画师</x:v>
      </x:c>
      <x:c r="D7" s="24" t="str">
        <x:v>法术控制</x:v>
      </x:c>
      <x:c r="E7" s="24" t="str">
        <x:v>精英</x:v>
      </x:c>
      <x:c r="F7" s="41" t="n">
        <x:f>G7</x:f>
        <x:v>125</x:v>
      </x:c>
      <x:c r="G7" s="41" t="n">
        <x:v>125</x:v>
      </x:c>
      <x:c r="H7" s="41" t="n">
        <x:v>12</x:v>
      </x:c>
      <x:c r="I7" s="41" t="n">
        <x:v>12</x:v>
      </x:c>
      <x:c r="J7" s="41" t="n">
        <x:v>36</x:v>
      </x:c>
      <x:c r="K7" s="41" t="n">
        <x:v>25</x:v>
      </x:c>
      <x:c r="L7" s="41" t="n">
        <x:v>14</x:v>
      </x:c>
      <x:c r="M7" s="41" t="n">
        <x:v>25</x:v>
      </x:c>
      <x:c r="N7" s="41" t="n">
        <x:v>70</x:v>
      </x:c>
      <x:c r="O7" s="42" t="n">
        <x:v>58</x:v>
      </x:c>
      <x:c r="P7" s="42" t="n">
        <x:v>28</x:v>
      </x:c>
      <x:c r="Q7" s="42" t="n">
        <x:v>70</x:v>
      </x:c>
      <x:c r="R7" s="42" t="n">
        <x:v>88</x:v>
      </x:c>
      <x:c r="S7" s="42" t="n">
        <x:v>61</x:v>
      </x:c>
      <x:c r="T7" s="43" t="n">
        <x:f>10+O7</x:f>
        <x:v>68</x:v>
      </x:c>
      <x:c r="U7" s="43" t="n">
        <x:f>10+P7</x:f>
        <x:v>38</x:v>
      </x:c>
      <x:c r="V7" s="43" t="n">
        <x:f>10+Q7</x:f>
        <x:v>80</x:v>
      </x:c>
      <x:c r="W7" s="43" t="n">
        <x:f>10+R7</x:f>
        <x:v>98</x:v>
      </x:c>
      <x:c r="X7" s="43" t="n">
        <x:f>10+S7</x:f>
        <x:v>71</x:v>
      </x:c>
      <x:c r="Y7" s="36" t="str">
        <x:v>绘画魔法上限极高，身体与近战能力较弱</x:v>
      </x:c>
      <x:c r="Z7" s="36" t="str">
        <x:v>待平衡测试</x:v>
      </x:c>
    </x:row>
    <x:row r="8" ht="54" customHeight="1">
      <x:c r="A8" s="24" t="str">
        <x:v>irelia</x:v>
      </x:c>
      <x:c r="B8" s="24" t="str">
        <x:v>艾瑞莉娅</x:v>
      </x:c>
      <x:c r="C8" s="24" t="str">
        <x:v>刀锋舞者</x:v>
      </x:c>
      <x:c r="D8" s="24" t="str">
        <x:v>近战领袖</x:v>
      </x:c>
      <x:c r="E8" s="24" t="str">
        <x:v>英雄</x:v>
      </x:c>
      <x:c r="F8" s="41" t="n">
        <x:f>G8</x:f>
        <x:v>155</x:v>
      </x:c>
      <x:c r="G8" s="41" t="n">
        <x:v>155</x:v>
      </x:c>
      <x:c r="H8" s="41" t="n">
        <x:v>30</x:v>
      </x:c>
      <x:c r="I8" s="41" t="n">
        <x:v>22</x:v>
      </x:c>
      <x:c r="J8" s="41" t="n">
        <x:v>15</x:v>
      </x:c>
      <x:c r="K8" s="41" t="n">
        <x:v>20</x:v>
      </x:c>
      <x:c r="L8" s="41" t="n">
        <x:v>29</x:v>
      </x:c>
      <x:c r="M8" s="41" t="n">
        <x:v>18</x:v>
      </x:c>
      <x:c r="N8" s="41" t="n">
        <x:v>95</x:v>
      </x:c>
      <x:c r="O8" s="42" t="n">
        <x:v>48</x:v>
      </x:c>
      <x:c r="P8" s="42" t="n">
        <x:v>57</x:v>
      </x:c>
      <x:c r="Q8" s="42" t="n">
        <x:v>42</x:v>
      </x:c>
      <x:c r="R8" s="42" t="n">
        <x:v>67</x:v>
      </x:c>
      <x:c r="S8" s="42" t="n">
        <x:v>72</x:v>
      </x:c>
      <x:c r="T8" s="43" t="n">
        <x:f>10+O8</x:f>
        <x:v>58</x:v>
      </x:c>
      <x:c r="U8" s="43" t="n">
        <x:f>10+P8</x:f>
        <x:v>67</x:v>
      </x:c>
      <x:c r="V8" s="43" t="n">
        <x:f>10+Q8</x:f>
        <x:v>52</x:v>
      </x:c>
      <x:c r="W8" s="43" t="n">
        <x:f>10+R8</x:f>
        <x:v>77</x:v>
      </x:c>
      <x:c r="X8" s="43" t="n">
        <x:f>10+S8</x:f>
        <x:v>82</x:v>
      </x:c>
      <x:c r="Y8" s="36" t="str">
        <x:v>战舞、刀刃控制与长期战争经验形成均衡高战力</x:v>
      </x:c>
      <x:c r="Z8" s="36" t="str">
        <x:v>待平衡测试</x:v>
      </x:c>
    </x:row>
    <x:row r="9" ht="54" customHeight="1">
      <x:c r="A9" s="24" t="str">
        <x:v>ivern</x:v>
      </x:c>
      <x:c r="B9" s="24" t="str">
        <x:v>艾翁</x:v>
      </x:c>
      <x:c r="C9" s="24" t="str">
        <x:v>翠神</x:v>
      </x:c>
      <x:c r="D9" s="24" t="str">
        <x:v>自然守护</x:v>
      </x:c>
      <x:c r="E9" s="24" t="str">
        <x:v>传说</x:v>
      </x:c>
      <x:c r="F9" s="41" t="n">
        <x:f>G9</x:f>
        <x:v>170</x:v>
      </x:c>
      <x:c r="G9" s="41" t="n">
        <x:v>170</x:v>
      </x:c>
      <x:c r="H9" s="41" t="n">
        <x:v>10</x:v>
      </x:c>
      <x:c r="I9" s="41" t="n">
        <x:v>24</x:v>
      </x:c>
      <x:c r="J9" s="41" t="n">
        <x:v>34</x:v>
      </x:c>
      <x:c r="K9" s="41" t="n">
        <x:v>32</x:v>
      </x:c>
      <x:c r="L9" s="41" t="n">
        <x:v>12</x:v>
      </x:c>
      <x:c r="M9" s="41" t="n">
        <x:v>28</x:v>
      </x:c>
      <x:c r="N9" s="41" t="n">
        <x:v>100</x:v>
      </x:c>
      <x:c r="O9" s="42" t="n">
        <x:v>94</x:v>
      </x:c>
      <x:c r="P9" s="42" t="n">
        <x:v>12</x:v>
      </x:c>
      <x:c r="Q9" s="42" t="n">
        <x:v>88</x:v>
      </x:c>
      <x:c r="R9" s="42" t="n">
        <x:v>100</x:v>
      </x:c>
      <x:c r="S9" s="42" t="n">
        <x:v>82</x:v>
      </x:c>
      <x:c r="T9" s="43" t="n">
        <x:f>10+O9</x:f>
        <x:v>104</x:v>
      </x:c>
      <x:c r="U9" s="43" t="n">
        <x:f>10+P9</x:f>
        <x:v>22</x:v>
      </x:c>
      <x:c r="V9" s="43" t="n">
        <x:f>10+Q9</x:f>
        <x:v>98</x:v>
      </x:c>
      <x:c r="W9" s="43" t="n">
        <x:f>10+R9</x:f>
        <x:v>110</x:v>
      </x:c>
      <x:c r="X9" s="43" t="n">
        <x:f>10+S9</x:f>
        <x:v>92</x:v>
      </x:c>
      <x:c r="Y9" s="36" t="str">
        <x:v>直接攻击较低，以生命魔法、护持和自然控制取胜</x:v>
      </x:c>
      <x:c r="Z9" s="36" t="str">
        <x:v>待平衡测试</x:v>
      </x:c>
    </x:row>
    <x:row r="10" ht="54" customHeight="1">
      <x:c r="A10" s="24" t="str">
        <x:v>jhin</x:v>
      </x:c>
      <x:c r="B10" s="24" t="str">
        <x:v>烬</x:v>
      </x:c>
      <x:c r="C10" s="24" t="str">
        <x:v>戏命师</x:v>
      </x:c>
      <x:c r="D10" s="24" t="str">
        <x:v>远程策划</x:v>
      </x:c>
      <x:c r="E10" s="24" t="str">
        <x:v>传说</x:v>
      </x:c>
      <x:c r="F10" s="41" t="n">
        <x:f>G10</x:f>
        <x:v>125</x:v>
      </x:c>
      <x:c r="G10" s="41" t="n">
        <x:v>125</x:v>
      </x:c>
      <x:c r="H10" s="41" t="n">
        <x:v>32</x:v>
      </x:c>
      <x:c r="I10" s="41" t="n">
        <x:v>12</x:v>
      </x:c>
      <x:c r="J10" s="41" t="n">
        <x:v>22</x:v>
      </x:c>
      <x:c r="K10" s="41" t="n">
        <x:v>18</x:v>
      </x:c>
      <x:c r="L10" s="41" t="n">
        <x:v>18</x:v>
      </x:c>
      <x:c r="M10" s="41" t="n">
        <x:v>25</x:v>
      </x:c>
      <x:c r="N10" s="41" t="n">
        <x:v>100</x:v>
      </x:c>
      <x:c r="O10" s="42" t="n">
        <x:v>5</x:v>
      </x:c>
      <x:c r="P10" s="42" t="n">
        <x:v>92</x:v>
      </x:c>
      <x:c r="Q10" s="42" t="n">
        <x:v>48</x:v>
      </x:c>
      <x:c r="R10" s="42" t="n">
        <x:v>24</x:v>
      </x:c>
      <x:c r="S10" s="42" t="n">
        <x:v>88</x:v>
      </x:c>
      <x:c r="T10" s="43" t="n">
        <x:f>10+O10</x:f>
        <x:v>15</x:v>
      </x:c>
      <x:c r="U10" s="43" t="n">
        <x:f>10+P10</x:f>
        <x:v>102</x:v>
      </x:c>
      <x:c r="V10" s="43" t="n">
        <x:f>10+Q10</x:f>
        <x:v>58</x:v>
      </x:c>
      <x:c r="W10" s="43" t="n">
        <x:f>10+R10</x:f>
        <x:v>34</x:v>
      </x:c>
      <x:c r="X10" s="43" t="n">
        <x:f>10+S10</x:f>
        <x:v>98</x:v>
      </x:c>
      <x:c r="Y10" s="36" t="str">
        <x:v>单次攻击与机关伤害高，正面承伤能力较弱</x:v>
      </x:c>
      <x:c r="Z10" s="36" t="str">
        <x:v>待平衡测试</x:v>
      </x:c>
    </x:row>
    <x:row r="11" ht="54" customHeight="1">
      <x:c r="A11" s="24" t="str">
        <x:v>karma</x:v>
      </x:c>
      <x:c r="B11" s="24" t="str">
        <x:v>卡尔玛</x:v>
      </x:c>
      <x:c r="C11" s="24" t="str">
        <x:v>天启者</x:v>
      </x:c>
      <x:c r="D11" s="24" t="str">
        <x:v>灵能领袖</x:v>
      </x:c>
      <x:c r="E11" s="24" t="str">
        <x:v>传说</x:v>
      </x:c>
      <x:c r="F11" s="41" t="n">
        <x:f>G11</x:f>
        <x:v>150</x:v>
      </x:c>
      <x:c r="G11" s="41" t="n">
        <x:v>150</x:v>
      </x:c>
      <x:c r="H11" s="41" t="n">
        <x:v>14</x:v>
      </x:c>
      <x:c r="I11" s="41" t="n">
        <x:v>20</x:v>
      </x:c>
      <x:c r="J11" s="41" t="n">
        <x:v>38</x:v>
      </x:c>
      <x:c r="K11" s="41" t="n">
        <x:v>34</x:v>
      </x:c>
      <x:c r="L11" s="41" t="n">
        <x:v>16</x:v>
      </x:c>
      <x:c r="M11" s="41" t="n">
        <x:v>30</x:v>
      </x:c>
      <x:c r="N11" s="41" t="n">
        <x:v>100</x:v>
      </x:c>
      <x:c r="O11" s="42" t="n">
        <x:v>78</x:v>
      </x:c>
      <x:c r="P11" s="42" t="n">
        <x:v>46</x:v>
      </x:c>
      <x:c r="Q11" s="42" t="n">
        <x:v>40</x:v>
      </x:c>
      <x:c r="R11" s="42" t="n">
        <x:v>100</x:v>
      </x:c>
      <x:c r="S11" s="42" t="n">
        <x:v>91</x:v>
      </x:c>
      <x:c r="T11" s="43" t="n">
        <x:f>10+O11</x:f>
        <x:v>88</x:v>
      </x:c>
      <x:c r="U11" s="43" t="n">
        <x:f>10+P11</x:f>
        <x:v>56</x:v>
      </x:c>
      <x:c r="V11" s="43" t="n">
        <x:f>10+Q11</x:f>
        <x:v>50</x:v>
      </x:c>
      <x:c r="W11" s="43" t="n">
        <x:f>10+R11</x:f>
        <x:v>110</x:v>
      </x:c>
      <x:c r="X11" s="43" t="n">
        <x:f>10+S11</x:f>
        <x:v>101</x:v>
      </x:c>
      <x:c r="Y11" s="36" t="str">
        <x:v>精神能量、护盾、治愈和历代记忆带来顶级法术能力</x:v>
      </x:c>
      <x:c r="Z11" s="36" t="str">
        <x:v>待平衡测试</x:v>
      </x:c>
    </x:row>
    <x:row r="12" ht="54" customHeight="1">
      <x:c r="A12" s="24" t="str">
        <x:v>kayn</x:v>
      </x:c>
      <x:c r="B12" s="24" t="str">
        <x:v>凯隐</x:v>
      </x:c>
      <x:c r="C12" s="24" t="str">
        <x:v>影流之镰</x:v>
      </x:c>
      <x:c r="D12" s="24" t="str">
        <x:v>暗影刺客</x:v>
      </x:c>
      <x:c r="E12" s="24" t="str">
        <x:v>英雄</x:v>
      </x:c>
      <x:c r="F12" s="41" t="n">
        <x:f>G12</x:f>
        <x:v>155</x:v>
      </x:c>
      <x:c r="G12" s="41" t="n">
        <x:v>155</x:v>
      </x:c>
      <x:c r="H12" s="41" t="n">
        <x:v>34</x:v>
      </x:c>
      <x:c r="I12" s="41" t="n">
        <x:v>18</x:v>
      </x:c>
      <x:c r="J12" s="41" t="n">
        <x:v>27</x:v>
      </x:c>
      <x:c r="K12" s="41" t="n">
        <x:v>22</x:v>
      </x:c>
      <x:c r="L12" s="41" t="n">
        <x:v>30</x:v>
      </x:c>
      <x:c r="M12" s="41" t="n">
        <x:v>22</x:v>
      </x:c>
      <x:c r="N12" s="41" t="n">
        <x:v>95</x:v>
      </x:c>
      <x:c r="O12" s="42" t="n">
        <x:v>12</x:v>
      </x:c>
      <x:c r="P12" s="42" t="n">
        <x:v>96</x:v>
      </x:c>
      <x:c r="Q12" s="42" t="n">
        <x:v>70</x:v>
      </x:c>
      <x:c r="R12" s="42" t="n">
        <x:v>42</x:v>
      </x:c>
      <x:c r="S12" s="42" t="n">
        <x:v>86</x:v>
      </x:c>
      <x:c r="T12" s="43" t="n">
        <x:f>10+O12</x:f>
        <x:v>22</x:v>
      </x:c>
      <x:c r="U12" s="43" t="n">
        <x:f>10+P12</x:f>
        <x:v>106</x:v>
      </x:c>
      <x:c r="V12" s="43" t="n">
        <x:f>10+Q12</x:f>
        <x:v>80</x:v>
      </x:c>
      <x:c r="W12" s="43" t="n">
        <x:f>10+R12</x:f>
        <x:v>52</x:v>
      </x:c>
      <x:c r="X12" s="43" t="n">
        <x:f>10+S12</x:f>
        <x:v>96</x:v>
      </x:c>
      <x:c r="Y12" s="36" t="str">
        <x:v>影子魔法与暗裔武器兼具爆发和穿行能力</x:v>
      </x:c>
      <x:c r="Z12" s="36" t="str">
        <x:v>待平衡测试</x:v>
      </x:c>
    </x:row>
    <x:row r="13" ht="54" customHeight="1">
      <x:c r="A13" s="24" t="str">
        <x:v>kennen</x:v>
      </x:c>
      <x:c r="B13" s="24" t="str">
        <x:v>凯南</x:v>
      </x:c>
      <x:c r="C13" s="24" t="str">
        <x:v>狂暴之心</x:v>
      </x:c>
      <x:c r="D13" s="24" t="str">
        <x:v>雷电游击</x:v>
      </x:c>
      <x:c r="E13" s="24" t="str">
        <x:v>传说</x:v>
      </x:c>
      <x:c r="F13" s="41" t="n">
        <x:f>G13</x:f>
        <x:v>130</x:v>
      </x:c>
      <x:c r="G13" s="41" t="n">
        <x:v>130</x:v>
      </x:c>
      <x:c r="H13" s="41" t="n">
        <x:v>19</x:v>
      </x:c>
      <x:c r="I13" s="41" t="n">
        <x:v>16</x:v>
      </x:c>
      <x:c r="J13" s="41" t="n">
        <x:v>34</x:v>
      </x:c>
      <x:c r="K13" s="41" t="n">
        <x:v>25</x:v>
      </x:c>
      <x:c r="L13" s="41" t="n">
        <x:v>33</x:v>
      </x:c>
      <x:c r="M13" s="41" t="n">
        <x:v>24</x:v>
      </x:c>
      <x:c r="N13" s="41" t="n">
        <x:v>100</x:v>
      </x:c>
      <x:c r="O13" s="42" t="n">
        <x:v>74</x:v>
      </x:c>
      <x:c r="P13" s="42" t="n">
        <x:v>38</x:v>
      </x:c>
      <x:c r="Q13" s="42" t="n">
        <x:v>72</x:v>
      </x:c>
      <x:c r="R13" s="42" t="n">
        <x:v>93</x:v>
      </x:c>
      <x:c r="S13" s="42" t="n">
        <x:v>77</x:v>
      </x:c>
      <x:c r="T13" s="43" t="n">
        <x:f>10+O13</x:f>
        <x:v>84</x:v>
      </x:c>
      <x:c r="U13" s="43" t="n">
        <x:f>10+P13</x:f>
        <x:v>48</x:v>
      </x:c>
      <x:c r="V13" s="43" t="n">
        <x:f>10+Q13</x:f>
        <x:v>82</x:v>
      </x:c>
      <x:c r="W13" s="43" t="n">
        <x:f>10+R13</x:f>
        <x:v>103</x:v>
      </x:c>
      <x:c r="X13" s="43" t="n">
        <x:f>10+S13</x:f>
        <x:v>87</x:v>
      </x:c>
      <x:c r="Y13" s="36" t="str">
        <x:v>雷电法术与高速移动突出，依靠机动避免正面承伤</x:v>
      </x:c>
      <x:c r="Z13" s="36" t="str">
        <x:v>待平衡测试</x:v>
      </x:c>
    </x:row>
    <x:row r="14" ht="54" customHeight="1">
      <x:c r="A14" s="24" t="str">
        <x:v>lee_sin</x:v>
      </x:c>
      <x:c r="B14" s="24" t="str">
        <x:v>李青</x:v>
      </x:c>
      <x:c r="C14" s="24" t="str">
        <x:v>盲僧</x:v>
      </x:c>
      <x:c r="D14" s="24" t="str">
        <x:v>武僧战士</x:v>
      </x:c>
      <x:c r="E14" s="24" t="str">
        <x:v>传说</x:v>
      </x:c>
      <x:c r="F14" s="41" t="n">
        <x:f>G14</x:f>
        <x:v>165</x:v>
      </x:c>
      <x:c r="G14" s="41" t="n">
        <x:v>165</x:v>
      </x:c>
      <x:c r="H14" s="41" t="n">
        <x:v>31</x:v>
      </x:c>
      <x:c r="I14" s="41" t="n">
        <x:v>24</x:v>
      </x:c>
      <x:c r="J14" s="41" t="n">
        <x:v>18</x:v>
      </x:c>
      <x:c r="K14" s="41" t="n">
        <x:v>27</x:v>
      </x:c>
      <x:c r="L14" s="41" t="n">
        <x:v>28</x:v>
      </x:c>
      <x:c r="M14" s="41" t="n">
        <x:v>20</x:v>
      </x:c>
      <x:c r="N14" s="41" t="n">
        <x:v>100</x:v>
      </x:c>
      <x:c r="O14" s="42" t="n">
        <x:v>70</x:v>
      </x:c>
      <x:c r="P14" s="42" t="n">
        <x:v>34</x:v>
      </x:c>
      <x:c r="Q14" s="42" t="n">
        <x:v>46</x:v>
      </x:c>
      <x:c r="R14" s="42" t="n">
        <x:v>98</x:v>
      </x:c>
      <x:c r="S14" s="42" t="n">
        <x:v>85</x:v>
      </x:c>
      <x:c r="T14" s="43" t="n">
        <x:f>10+O14</x:f>
        <x:v>80</x:v>
      </x:c>
      <x:c r="U14" s="43" t="n">
        <x:f>10+P14</x:f>
        <x:v>44</x:v>
      </x:c>
      <x:c r="V14" s="43" t="n">
        <x:f>10+Q14</x:f>
        <x:v>56</x:v>
      </x:c>
      <x:c r="W14" s="43" t="n">
        <x:f>10+R14</x:f>
        <x:v>108</x:v>
      </x:c>
      <x:c r="X14" s="43" t="n">
        <x:f>10+S14</x:f>
        <x:v>95</x:v>
      </x:c>
      <x:c r="Y14" s="36" t="str">
        <x:v>龙之灵、气感和自律训练带来高近战与抗性</x:v>
      </x:c>
      <x:c r="Z14" s="36" t="str">
        <x:v>待平衡测试</x:v>
      </x:c>
    </x:row>
    <x:row r="15" ht="54" customHeight="1">
      <x:c r="A15" s="24" t="str">
        <x:v>lillia</x:v>
      </x:c>
      <x:c r="B15" s="24" t="str">
        <x:v>莉莉娅</x:v>
      </x:c>
      <x:c r="C15" s="24" t="str">
        <x:v>含羞蓓蕾</x:v>
      </x:c>
      <x:c r="D15" s="24" t="str">
        <x:v>梦境法师</x:v>
      </x:c>
      <x:c r="E15" s="24" t="str">
        <x:v>精英</x:v>
      </x:c>
      <x:c r="F15" s="41" t="n">
        <x:f>G15</x:f>
        <x:v>130</x:v>
      </x:c>
      <x:c r="G15" s="41" t="n">
        <x:v>130</x:v>
      </x:c>
      <x:c r="H15" s="41" t="n">
        <x:v>12</x:v>
      </x:c>
      <x:c r="I15" s="41" t="n">
        <x:v>14</x:v>
      </x:c>
      <x:c r="J15" s="41" t="n">
        <x:v>34</x:v>
      </x:c>
      <x:c r="K15" s="41" t="n">
        <x:v>30</x:v>
      </x:c>
      <x:c r="L15" s="41" t="n">
        <x:v>27</x:v>
      </x:c>
      <x:c r="M15" s="41" t="n">
        <x:v>26</x:v>
      </x:c>
      <x:c r="N15" s="41" t="n">
        <x:v>75</x:v>
      </x:c>
      <x:c r="O15" s="42" t="n">
        <x:v>92</x:v>
      </x:c>
      <x:c r="P15" s="42" t="n">
        <x:v>8</x:v>
      </x:c>
      <x:c r="Q15" s="42" t="n">
        <x:v>90</x:v>
      </x:c>
      <x:c r="R15" s="42" t="n">
        <x:v>100</x:v>
      </x:c>
      <x:c r="S15" s="42" t="n">
        <x:v>68</x:v>
      </x:c>
      <x:c r="T15" s="43" t="n">
        <x:f>10+O15</x:f>
        <x:v>102</x:v>
      </x:c>
      <x:c r="U15" s="43" t="n">
        <x:f>10+P15</x:f>
        <x:v>18</x:v>
      </x:c>
      <x:c r="V15" s="43" t="n">
        <x:f>10+Q15</x:f>
        <x:v>100</x:v>
      </x:c>
      <x:c r="W15" s="43" t="n">
        <x:f>10+R15</x:f>
        <x:v>110</x:v>
      </x:c>
      <x:c r="X15" s="43" t="n">
        <x:f>10+S15</x:f>
        <x:v>78</x:v>
      </x:c>
      <x:c r="Y15" s="36" t="str">
        <x:v>梦境与自然魔法强，倾向机动、催眠而非正面对抗</x:v>
      </x:c>
      <x:c r="Z15" s="36" t="str">
        <x:v>待平衡测试</x:v>
      </x:c>
    </x:row>
    <x:row r="16" ht="54" customHeight="1">
      <x:c r="A16" s="24" t="str">
        <x:v>master_yi</x:v>
      </x:c>
      <x:c r="B16" s="24" t="str">
        <x:v>易</x:v>
      </x:c>
      <x:c r="C16" s="24" t="str">
        <x:v>无极剑圣</x:v>
      </x:c>
      <x:c r="D16" s="24" t="str">
        <x:v>剑术宗师</x:v>
      </x:c>
      <x:c r="E16" s="24" t="str">
        <x:v>传说</x:v>
      </x:c>
      <x:c r="F16" s="41" t="n">
        <x:f>G16</x:f>
        <x:v>140</x:v>
      </x:c>
      <x:c r="G16" s="41" t="n">
        <x:v>140</x:v>
      </x:c>
      <x:c r="H16" s="41" t="n">
        <x:v>36</x:v>
      </x:c>
      <x:c r="I16" s="41" t="n">
        <x:v>17</x:v>
      </x:c>
      <x:c r="J16" s="41" t="n">
        <x:v>17</x:v>
      </x:c>
      <x:c r="K16" s="41" t="n">
        <x:v>24</x:v>
      </x:c>
      <x:c r="L16" s="41" t="n">
        <x:v>38</x:v>
      </x:c>
      <x:c r="M16" s="41" t="n">
        <x:v>22</x:v>
      </x:c>
      <x:c r="N16" s="41" t="n">
        <x:v>100</x:v>
      </x:c>
      <x:c r="O16" s="42" t="n">
        <x:v>62</x:v>
      </x:c>
      <x:c r="P16" s="42" t="n">
        <x:v>36</x:v>
      </x:c>
      <x:c r="Q16" s="42" t="n">
        <x:v>54</x:v>
      </x:c>
      <x:c r="R16" s="42" t="n">
        <x:v>86</x:v>
      </x:c>
      <x:c r="S16" s="42" t="n">
        <x:v>79</x:v>
      </x:c>
      <x:c r="T16" s="43" t="n">
        <x:f>10+O16</x:f>
        <x:v>72</x:v>
      </x:c>
      <x:c r="U16" s="43" t="n">
        <x:f>10+P16</x:f>
        <x:v>46</x:v>
      </x:c>
      <x:c r="V16" s="43" t="n">
        <x:f>10+Q16</x:f>
        <x:v>64</x:v>
      </x:c>
      <x:c r="W16" s="43" t="n">
        <x:f>10+R16</x:f>
        <x:v>96</x:v>
      </x:c>
      <x:c r="X16" s="43" t="n">
        <x:f>10+S16</x:f>
        <x:v>89</x:v>
      </x:c>
      <x:c r="Y16" s="36" t="str">
        <x:v>无极剑术拥有最高级别单体攻击和速度，容错较低</x:v>
      </x:c>
      <x:c r="Z16" s="36" t="str">
        <x:v>待平衡测试</x:v>
      </x:c>
    </x:row>
    <x:row r="17" ht="54" customHeight="1">
      <x:c r="A17" s="24" t="str">
        <x:v>rakan</x:v>
      </x:c>
      <x:c r="B17" s="24" t="str">
        <x:v>洛</x:v>
      </x:c>
      <x:c r="C17" s="24" t="str">
        <x:v>幻翎</x:v>
      </x:c>
      <x:c r="D17" s="24" t="str">
        <x:v>灵性辅助</x:v>
      </x:c>
      <x:c r="E17" s="24" t="str">
        <x:v>精英</x:v>
      </x:c>
      <x:c r="F17" s="41" t="n">
        <x:f>G17</x:f>
        <x:v>145</x:v>
      </x:c>
      <x:c r="G17" s="41" t="n">
        <x:v>145</x:v>
      </x:c>
      <x:c r="H17" s="41" t="n">
        <x:v>20</x:v>
      </x:c>
      <x:c r="I17" s="41" t="n">
        <x:v>19</x:v>
      </x:c>
      <x:c r="J17" s="41" t="n">
        <x:v>29</x:v>
      </x:c>
      <x:c r="K17" s="41" t="n">
        <x:v>26</x:v>
      </x:c>
      <x:c r="L17" s="41" t="n">
        <x:v>33</x:v>
      </x:c>
      <x:c r="M17" s="41" t="n">
        <x:v>25</x:v>
      </x:c>
      <x:c r="N17" s="41" t="n">
        <x:v>85</x:v>
      </x:c>
      <x:c r="O17" s="42" t="n">
        <x:v>58</x:v>
      </x:c>
      <x:c r="P17" s="42" t="n">
        <x:v>30</x:v>
      </x:c>
      <x:c r="Q17" s="42" t="n">
        <x:v>100</x:v>
      </x:c>
      <x:c r="R17" s="42" t="n">
        <x:v>88</x:v>
      </x:c>
      <x:c r="S17" s="42" t="n">
        <x:v>62</x:v>
      </x:c>
      <x:c r="T17" s="43" t="n">
        <x:f>10+O17</x:f>
        <x:v>68</x:v>
      </x:c>
      <x:c r="U17" s="43" t="n">
        <x:f>10+P17</x:f>
        <x:v>40</x:v>
      </x:c>
      <x:c r="V17" s="43" t="n">
        <x:f>10+Q17</x:f>
        <x:v>110</x:v>
      </x:c>
      <x:c r="W17" s="43" t="n">
        <x:f>10+R17</x:f>
        <x:v>98</x:v>
      </x:c>
      <x:c r="X17" s="43" t="n">
        <x:f>10+S17</x:f>
        <x:v>72</x:v>
      </x:c>
      <x:c r="Y17" s="36" t="str">
        <x:v>高速舞步、护盾和扰乱使其偏向支援与控制</x:v>
      </x:c>
      <x:c r="Z17" s="36" t="str">
        <x:v>待平衡测试</x:v>
      </x:c>
    </x:row>
    <x:row r="18" ht="54" customHeight="1">
      <x:c r="A18" s="24" t="str">
        <x:v>sett</x:v>
      </x:c>
      <x:c r="B18" s="24" t="str">
        <x:v>瑟提</x:v>
      </x:c>
      <x:c r="C18" s="24" t="str">
        <x:v>腕豪</x:v>
      </x:c>
      <x:c r="D18" s="24" t="str">
        <x:v>重装斗士</x:v>
      </x:c>
      <x:c r="E18" s="24" t="str">
        <x:v>英雄</x:v>
      </x:c>
      <x:c r="F18" s="41" t="n">
        <x:f>G18</x:f>
        <x:v>190</x:v>
      </x:c>
      <x:c r="G18" s="41" t="n">
        <x:v>190</x:v>
      </x:c>
      <x:c r="H18" s="41" t="n">
        <x:v>36</x:v>
      </x:c>
      <x:c r="I18" s="41" t="n">
        <x:v>29</x:v>
      </x:c>
      <x:c r="J18" s="41" t="n">
        <x:v>7</x:v>
      </x:c>
      <x:c r="K18" s="41" t="n">
        <x:v>18</x:v>
      </x:c>
      <x:c r="L18" s="41" t="n">
        <x:v>25</x:v>
      </x:c>
      <x:c r="M18" s="41" t="n">
        <x:v>14</x:v>
      </x:c>
      <x:c r="N18" s="41" t="n">
        <x:v>92</x:v>
      </x:c>
      <x:c r="O18" s="42" t="n">
        <x:v>22</x:v>
      </x:c>
      <x:c r="P18" s="42" t="n">
        <x:v>90</x:v>
      </x:c>
      <x:c r="Q18" s="42" t="n">
        <x:v>73</x:v>
      </x:c>
      <x:c r="R18" s="42" t="n">
        <x:v>18</x:v>
      </x:c>
      <x:c r="S18" s="42" t="n">
        <x:v>79</x:v>
      </x:c>
      <x:c r="T18" s="43" t="n">
        <x:f>10+O18</x:f>
        <x:v>32</x:v>
      </x:c>
      <x:c r="U18" s="43" t="n">
        <x:f>10+P18</x:f>
        <x:v>100</x:v>
      </x:c>
      <x:c r="V18" s="43" t="n">
        <x:f>10+Q18</x:f>
        <x:v>83</x:v>
      </x:c>
      <x:c r="W18" s="43" t="n">
        <x:f>10+R18</x:f>
        <x:v>28</x:v>
      </x:c>
      <x:c r="X18" s="43" t="n">
        <x:f>10+S18</x:f>
        <x:v>89</x:v>
      </x:c>
      <x:c r="Y18" s="36" t="str">
        <x:v>极强体魄、近身格斗与承伤反击，几乎不依赖法术</x:v>
      </x:c>
      <x:c r="Z18" s="36" t="str">
        <x:v>待平衡测试</x:v>
      </x:c>
    </x:row>
    <x:row r="19" ht="54" customHeight="1">
      <x:c r="A19" s="24" t="str">
        <x:v>shen</x:v>
      </x:c>
      <x:c r="B19" s="24" t="str">
        <x:v>慎</x:v>
      </x:c>
      <x:c r="C19" s="24" t="str">
        <x:v>暮光之眼</x:v>
      </x:c>
      <x:c r="D19" s="24" t="str">
        <x:v>守护战士</x:v>
      </x:c>
      <x:c r="E19" s="24" t="str">
        <x:v>传说</x:v>
      </x:c>
      <x:c r="F19" s="41" t="n">
        <x:f>G19</x:f>
        <x:v>175</x:v>
      </x:c>
      <x:c r="G19" s="41" t="n">
        <x:v>175</x:v>
      </x:c>
      <x:c r="H19" s="41" t="n">
        <x:v>26</x:v>
      </x:c>
      <x:c r="I19" s="41" t="n">
        <x:v>32</x:v>
      </x:c>
      <x:c r="J19" s="41" t="n">
        <x:v>18</x:v>
      </x:c>
      <x:c r="K19" s="41" t="n">
        <x:v>30</x:v>
      </x:c>
      <x:c r="L19" s="41" t="n">
        <x:v>24</x:v>
      </x:c>
      <x:c r="M19" s="41" t="n">
        <x:v>24</x:v>
      </x:c>
      <x:c r="N19" s="41" t="n">
        <x:v>100</x:v>
      </x:c>
      <x:c r="O19" s="42" t="n">
        <x:v>68</x:v>
      </x:c>
      <x:c r="P19" s="42" t="n">
        <x:v>40</x:v>
      </x:c>
      <x:c r="Q19" s="42" t="n">
        <x:v>26</x:v>
      </x:c>
      <x:c r="R19" s="42" t="n">
        <x:v>100</x:v>
      </x:c>
      <x:c r="S19" s="42" t="n">
        <x:v>74</x:v>
      </x:c>
      <x:c r="T19" s="43" t="n">
        <x:f>10+O19</x:f>
        <x:v>78</x:v>
      </x:c>
      <x:c r="U19" s="43" t="n">
        <x:f>10+P19</x:f>
        <x:v>50</x:v>
      </x:c>
      <x:c r="V19" s="43" t="n">
        <x:f>10+Q19</x:f>
        <x:v>36</x:v>
      </x:c>
      <x:c r="W19" s="43" t="n">
        <x:f>10+R19</x:f>
        <x:v>110</x:v>
      </x:c>
      <x:c r="X19" s="43" t="n">
        <x:f>10+S19</x:f>
        <x:v>84</x:v>
      </x:c>
      <x:c r="Y19" s="36" t="str">
        <x:v>灵刃、护盾与两界经验使防御和魔抗居高</x:v>
      </x:c>
      <x:c r="Z19" s="36" t="str">
        <x:v>待平衡测试</x:v>
      </x:c>
    </x:row>
    <x:row r="20" ht="54" customHeight="1">
      <x:c r="A20" s="24" t="str">
        <x:v>syndra</x:v>
      </x:c>
      <x:c r="B20" s="24" t="str">
        <x:v>辛德拉</x:v>
      </x:c>
      <x:c r="C20" s="24" t="str">
        <x:v>暗黑元首</x:v>
      </x:c>
      <x:c r="D20" s="24" t="str">
        <x:v>爆发法师</x:v>
      </x:c>
      <x:c r="E20" s="24" t="str">
        <x:v>精英</x:v>
      </x:c>
      <x:c r="F20" s="41" t="n">
        <x:f>G20</x:f>
        <x:v>135</x:v>
      </x:c>
      <x:c r="G20" s="41" t="n">
        <x:v>135</x:v>
      </x:c>
      <x:c r="H20" s="41" t="n">
        <x:v>12</x:v>
      </x:c>
      <x:c r="I20" s="41" t="n">
        <x:v>13</x:v>
      </x:c>
      <x:c r="J20" s="41" t="n">
        <x:v>42</x:v>
      </x:c>
      <x:c r="K20" s="41" t="n">
        <x:v>30</x:v>
      </x:c>
      <x:c r="L20" s="41" t="n">
        <x:v>16</x:v>
      </x:c>
      <x:c r="M20" s="41" t="n">
        <x:v>31</x:v>
      </x:c>
      <x:c r="N20" s="41" t="n">
        <x:v>88</x:v>
      </x:c>
      <x:c r="O20" s="42" t="n">
        <x:v>8</x:v>
      </x:c>
      <x:c r="P20" s="42" t="n">
        <x:v>97</x:v>
      </x:c>
      <x:c r="Q20" s="42" t="n">
        <x:v>100</x:v>
      </x:c>
      <x:c r="R20" s="42" t="n">
        <x:v>72</x:v>
      </x:c>
      <x:c r="S20" s="42" t="n">
        <x:v>91</x:v>
      </x:c>
      <x:c r="T20" s="43" t="n">
        <x:f>10+O20</x:f>
        <x:v>18</x:v>
      </x:c>
      <x:c r="U20" s="43" t="n">
        <x:f>10+P20</x:f>
        <x:v>107</x:v>
      </x:c>
      <x:c r="V20" s="43" t="n">
        <x:f>10+Q20</x:f>
        <x:v>110</x:v>
      </x:c>
      <x:c r="W20" s="43" t="n">
        <x:f>10+R20</x:f>
        <x:v>82</x:v>
      </x:c>
      <x:c r="X20" s="43" t="n">
        <x:f>10+S20</x:f>
        <x:v>101</x:v>
      </x:c>
      <x:c r="Y20" s="36" t="str">
        <x:v>念力与环境魔力达到极高法强，身体防御明显偏低</x:v>
      </x:c>
      <x:c r="Z20" s="36" t="str">
        <x:v>待平衡测试</x:v>
      </x:c>
    </x:row>
    <x:row r="21" ht="54" customHeight="1">
      <x:c r="A21" s="24" t="str">
        <x:v>varus</x:v>
      </x:c>
      <x:c r="B21" s="24" t="str">
        <x:v>韦鲁斯</x:v>
      </x:c>
      <x:c r="C21" s="24" t="str">
        <x:v>惩戒之箭</x:v>
      </x:c>
      <x:c r="D21" s="24" t="str">
        <x:v>暗裔射手</x:v>
      </x:c>
      <x:c r="E21" s="24" t="str">
        <x:v>传说</x:v>
      </x:c>
      <x:c r="F21" s="41" t="n">
        <x:f>G21</x:f>
        <x:v>160</x:v>
      </x:c>
      <x:c r="G21" s="41" t="n">
        <x:v>160</x:v>
      </x:c>
      <x:c r="H21" s="41" t="n">
        <x:v>34</x:v>
      </x:c>
      <x:c r="I21" s="41" t="n">
        <x:v>18</x:v>
      </x:c>
      <x:c r="J21" s="41" t="n">
        <x:v>32</x:v>
      </x:c>
      <x:c r="K21" s="41" t="n">
        <x:v>25</x:v>
      </x:c>
      <x:c r="L21" s="41" t="n">
        <x:v>25</x:v>
      </x:c>
      <x:c r="M21" s="41" t="n">
        <x:v>20</x:v>
      </x:c>
      <x:c r="N21" s="41" t="n">
        <x:v>100</x:v>
      </x:c>
      <x:c r="O21" s="42" t="n">
        <x:v>10</x:v>
      </x:c>
      <x:c r="P21" s="42" t="n">
        <x:v>88</x:v>
      </x:c>
      <x:c r="Q21" s="42" t="n">
        <x:v>44</x:v>
      </x:c>
      <x:c r="R21" s="42" t="n">
        <x:v>18</x:v>
      </x:c>
      <x:c r="S21" s="42" t="n">
        <x:v>94</x:v>
      </x:c>
      <x:c r="T21" s="43" t="n">
        <x:f>10+O21</x:f>
        <x:v>20</x:v>
      </x:c>
      <x:c r="U21" s="43" t="n">
        <x:f>10+P21</x:f>
        <x:v>98</x:v>
      </x:c>
      <x:c r="V21" s="43" t="n">
        <x:f>10+Q21</x:f>
        <x:v>54</x:v>
      </x:c>
      <x:c r="W21" s="43" t="n">
        <x:f>10+R21</x:f>
        <x:v>28</x:v>
      </x:c>
      <x:c r="X21" s="43" t="n">
        <x:f>10+S21</x:f>
        <x:v>104</x:v>
      </x:c>
      <x:c r="Y21" s="36" t="str">
        <x:v>超凡弓术与血魔法兼具物理、法术爆发</x:v>
      </x:c>
      <x:c r="Z21" s="36" t="str">
        <x:v>待平衡测试</x:v>
      </x:c>
    </x:row>
    <x:row r="22" ht="54" customHeight="1">
      <x:c r="A22" s="24" t="str">
        <x:v>wukong</x:v>
      </x:c>
      <x:c r="B22" s="24" t="str">
        <x:v>悟空</x:v>
      </x:c>
      <x:c r="C22" s="24" t="str">
        <x:v>齐天大圣</x:v>
      </x:c>
      <x:c r="D22" s="24" t="str">
        <x:v>机动战士</x:v>
      </x:c>
      <x:c r="E22" s="24" t="str">
        <x:v>精英</x:v>
      </x:c>
      <x:c r="F22" s="41" t="n">
        <x:f>G22</x:f>
        <x:v>165</x:v>
      </x:c>
      <x:c r="G22" s="41" t="n">
        <x:v>165</x:v>
      </x:c>
      <x:c r="H22" s="41" t="n">
        <x:v>31</x:v>
      </x:c>
      <x:c r="I22" s="41" t="n">
        <x:v>24</x:v>
      </x:c>
      <x:c r="J22" s="41" t="n">
        <x:v>16</x:v>
      </x:c>
      <x:c r="K22" s="41" t="n">
        <x:v>21</x:v>
      </x:c>
      <x:c r="L22" s="41" t="n">
        <x:v>31</x:v>
      </x:c>
      <x:c r="M22" s="41" t="n">
        <x:v>18</x:v>
      </x:c>
      <x:c r="N22" s="41" t="n">
        <x:v>82</x:v>
      </x:c>
      <x:c r="O22" s="42" t="n">
        <x:v>54</x:v>
      </x:c>
      <x:c r="P22" s="42" t="n">
        <x:v>42</x:v>
      </x:c>
      <x:c r="Q22" s="42" t="n">
        <x:v>92</x:v>
      </x:c>
      <x:c r="R22" s="42" t="n">
        <x:v>70</x:v>
      </x:c>
      <x:c r="S22" s="42" t="n">
        <x:v>56</x:v>
      </x:c>
      <x:c r="T22" s="43" t="n">
        <x:f>10+O22</x:f>
        <x:v>64</x:v>
      </x:c>
      <x:c r="U22" s="43" t="n">
        <x:f>10+P22</x:f>
        <x:v>52</x:v>
      </x:c>
      <x:c r="V22" s="43" t="n">
        <x:f>10+Q22</x:f>
        <x:v>102</x:v>
      </x:c>
      <x:c r="W22" s="43" t="n">
        <x:f>10+R22</x:f>
        <x:v>80</x:v>
      </x:c>
      <x:c r="X22" s="43" t="n">
        <x:f>10+S22</x:f>
        <x:v>66</x:v>
      </x:c>
      <x:c r="Y22" s="36" t="str">
        <x:v>瓦斯塔亚体魄、分身与长棍技艺适合近战周旋</x:v>
      </x:c>
      <x:c r="Z22" s="36" t="str">
        <x:v>待平衡测试</x:v>
      </x:c>
    </x:row>
    <x:row r="23" ht="54" customHeight="1">
      <x:c r="A23" s="24" t="str">
        <x:v>xayah</x:v>
      </x:c>
      <x:c r="B23" s="24" t="str">
        <x:v>霞</x:v>
      </x:c>
      <x:c r="C23" s="24" t="str">
        <x:v>逆羽</x:v>
      </x:c>
      <x:c r="D23" s="24" t="str">
        <x:v>羽刃射手</x:v>
      </x:c>
      <x:c r="E23" s="24" t="str">
        <x:v>精英</x:v>
      </x:c>
      <x:c r="F23" s="41" t="n">
        <x:f>G23</x:f>
        <x:v>145</x:v>
      </x:c>
      <x:c r="G23" s="41" t="n">
        <x:v>145</x:v>
      </x:c>
      <x:c r="H23" s="41" t="n">
        <x:v>30</x:v>
      </x:c>
      <x:c r="I23" s="41" t="n">
        <x:v>17</x:v>
      </x:c>
      <x:c r="J23" s="41" t="n">
        <x:v>20</x:v>
      </x:c>
      <x:c r="K23" s="41" t="n">
        <x:v>21</x:v>
      </x:c>
      <x:c r="L23" s="41" t="n">
        <x:v>34</x:v>
      </x:c>
      <x:c r="M23" s="41" t="n">
        <x:v>18</x:v>
      </x:c>
      <x:c r="N23" s="41" t="n">
        <x:v>88</x:v>
      </x:c>
      <x:c r="O23" s="42" t="n">
        <x:v>24</x:v>
      </x:c>
      <x:c r="P23" s="42" t="n">
        <x:v>62</x:v>
      </x:c>
      <x:c r="Q23" s="42" t="n">
        <x:v>78</x:v>
      </x:c>
      <x:c r="R23" s="42" t="n">
        <x:v>96</x:v>
      </x:c>
      <x:c r="S23" s="42" t="n">
        <x:v>83</x:v>
      </x:c>
      <x:c r="T23" s="43" t="n">
        <x:f>10+O23</x:f>
        <x:v>34</x:v>
      </x:c>
      <x:c r="U23" s="43" t="n">
        <x:f>10+P23</x:f>
        <x:v>72</x:v>
      </x:c>
      <x:c r="V23" s="43" t="n">
        <x:f>10+Q23</x:f>
        <x:v>88</x:v>
      </x:c>
      <x:c r="W23" s="43" t="n">
        <x:f>10+R23</x:f>
        <x:v>106</x:v>
      </x:c>
      <x:c r="X23" s="43" t="n">
        <x:f>10+S23</x:f>
        <x:v>93</x:v>
      </x:c>
      <x:c r="Y23" s="36" t="str">
        <x:v>羽刃陷阱和高机动输出强，正面防御有限</x:v>
      </x:c>
      <x:c r="Z23" s="36" t="str">
        <x:v>待平衡测试</x:v>
      </x:c>
    </x:row>
    <x:row r="24" ht="54" customHeight="1">
      <x:c r="A24" s="24" t="str">
        <x:v>yasuo</x:v>
      </x:c>
      <x:c r="B24" s="24" t="str">
        <x:v>亚索</x:v>
      </x:c>
      <x:c r="C24" s="24" t="str">
        <x:v>疾风剑豪</x:v>
      </x:c>
      <x:c r="D24" s="24" t="str">
        <x:v>御风剑客</x:v>
      </x:c>
      <x:c r="E24" s="24" t="str">
        <x:v>传说</x:v>
      </x:c>
      <x:c r="F24" s="41" t="n">
        <x:f>G24</x:f>
        <x:v>150</x:v>
      </x:c>
      <x:c r="G24" s="41" t="n">
        <x:v>150</x:v>
      </x:c>
      <x:c r="H24" s="41" t="n">
        <x:v>34</x:v>
      </x:c>
      <x:c r="I24" s="41" t="n">
        <x:v>20</x:v>
      </x:c>
      <x:c r="J24" s="41" t="n">
        <x:v>26</x:v>
      </x:c>
      <x:c r="K24" s="41" t="n">
        <x:v>23</x:v>
      </x:c>
      <x:c r="L24" s="41" t="n">
        <x:v>35</x:v>
      </x:c>
      <x:c r="M24" s="41" t="n">
        <x:v>22</x:v>
      </x:c>
      <x:c r="N24" s="41" t="n">
        <x:v>100</x:v>
      </x:c>
      <x:c r="O24" s="42" t="n">
        <x:v>46</x:v>
      </x:c>
      <x:c r="P24" s="42" t="n">
        <x:v>28</x:v>
      </x:c>
      <x:c r="Q24" s="42" t="n">
        <x:v>90</x:v>
      </x:c>
      <x:c r="R24" s="42" t="n">
        <x:v>58</x:v>
      </x:c>
      <x:c r="S24" s="42" t="n">
        <x:v>66</x:v>
      </x:c>
      <x:c r="T24" s="43" t="n">
        <x:f>10+O24</x:f>
        <x:v>56</x:v>
      </x:c>
      <x:c r="U24" s="43" t="n">
        <x:f>10+P24</x:f>
        <x:v>38</x:v>
      </x:c>
      <x:c r="V24" s="43" t="n">
        <x:f>10+Q24</x:f>
        <x:v>100</x:v>
      </x:c>
      <x:c r="W24" s="43" t="n">
        <x:f>10+R24</x:f>
        <x:v>68</x:v>
      </x:c>
      <x:c r="X24" s="43" t="n">
        <x:f>10+S24</x:f>
        <x:v>76</x:v>
      </x:c>
      <x:c r="Y24" s="36" t="str">
        <x:v>御风剑术兼具高攻击、速度和元素防护</x:v>
      </x:c>
      <x:c r="Z24" s="36" t="str">
        <x:v>待平衡测试</x:v>
      </x:c>
    </x:row>
    <x:row r="25" ht="54" customHeight="1">
      <x:c r="A25" s="24" t="str">
        <x:v>yone</x:v>
      </x:c>
      <x:c r="B25" s="24" t="str">
        <x:v>永恩</x:v>
      </x:c>
      <x:c r="C25" s="24" t="str">
        <x:v>封魔剑魂</x:v>
      </x:c>
      <x:c r="D25" s="24" t="str">
        <x:v>灵体剑士</x:v>
      </x:c>
      <x:c r="E25" s="24" t="str">
        <x:v>传说</x:v>
      </x:c>
      <x:c r="F25" s="41" t="n">
        <x:f>G25</x:f>
        <x:v>165</x:v>
      </x:c>
      <x:c r="G25" s="41" t="n">
        <x:v>165</x:v>
      </x:c>
      <x:c r="H25" s="41" t="n">
        <x:v>35</x:v>
      </x:c>
      <x:c r="I25" s="41" t="n">
        <x:v>23</x:v>
      </x:c>
      <x:c r="J25" s="41" t="n">
        <x:v>27</x:v>
      </x:c>
      <x:c r="K25" s="41" t="n">
        <x:v>27</x:v>
      </x:c>
      <x:c r="L25" s="41" t="n">
        <x:v>31</x:v>
      </x:c>
      <x:c r="M25" s="41" t="n">
        <x:v>24</x:v>
      </x:c>
      <x:c r="N25" s="41" t="n">
        <x:v>100</x:v>
      </x:c>
      <x:c r="O25" s="42" t="n">
        <x:v>58</x:v>
      </x:c>
      <x:c r="P25" s="42" t="n">
        <x:v>34</x:v>
      </x:c>
      <x:c r="Q25" s="42" t="n">
        <x:v>52</x:v>
      </x:c>
      <x:c r="R25" s="42" t="n">
        <x:v>91</x:v>
      </x:c>
      <x:c r="S25" s="42" t="n">
        <x:v>93</x:v>
      </x:c>
      <x:c r="T25" s="43" t="n">
        <x:f>10+O25</x:f>
        <x:v>68</x:v>
      </x:c>
      <x:c r="U25" s="43" t="n">
        <x:f>10+P25</x:f>
        <x:v>44</x:v>
      </x:c>
      <x:c r="V25" s="43" t="n">
        <x:f>10+Q25</x:f>
        <x:v>62</x:v>
      </x:c>
      <x:c r="W25" s="43" t="n">
        <x:f>10+R25</x:f>
        <x:v>101</x:v>
      </x:c>
      <x:c r="X25" s="43" t="n">
        <x:f>10+S25</x:f>
        <x:v>103</x:v>
      </x:c>
      <x:c r="Y25" s="36" t="str">
        <x:v>双剑、灵体出窍与猎魔经验形成高综合战力</x:v>
      </x:c>
      <x:c r="Z25" s="36" t="str">
        <x:v>待平衡测试</x:v>
      </x:c>
    </x:row>
    <x:row r="26" ht="54" customHeight="1">
      <x:c r="A26" s="25" t="str">
        <x:v>zed</x:v>
      </x:c>
      <x:c r="B26" s="25" t="str">
        <x:v>劫</x:v>
      </x:c>
      <x:c r="C26" s="25" t="str">
        <x:v>影流之主</x:v>
      </x:c>
      <x:c r="D26" s="25" t="str">
        <x:v>影流刺客</x:v>
      </x:c>
      <x:c r="E26" s="25" t="str">
        <x:v>传说</x:v>
      </x:c>
      <x:c r="F26" s="44" t="n">
        <x:f>G26</x:f>
        <x:v>155</x:v>
      </x:c>
      <x:c r="G26" s="44" t="n">
        <x:v>155</x:v>
      </x:c>
      <x:c r="H26" s="44" t="n">
        <x:v>35</x:v>
      </x:c>
      <x:c r="I26" s="44" t="n">
        <x:v>20</x:v>
      </x:c>
      <x:c r="J26" s="44" t="n">
        <x:v>29</x:v>
      </x:c>
      <x:c r="K26" s="44" t="n">
        <x:v>24</x:v>
      </x:c>
      <x:c r="L26" s="44" t="n">
        <x:v>34</x:v>
      </x:c>
      <x:c r="M26" s="44" t="n">
        <x:v>26</x:v>
      </x:c>
      <x:c r="N26" s="44" t="n">
        <x:v>100</x:v>
      </x:c>
      <x:c r="O26" s="45" t="n">
        <x:v>16</x:v>
      </x:c>
      <x:c r="P26" s="45" t="n">
        <x:v>91</x:v>
      </x:c>
      <x:c r="Q26" s="45" t="n">
        <x:v>58</x:v>
      </x:c>
      <x:c r="R26" s="45" t="n">
        <x:v>68</x:v>
      </x:c>
      <x:c r="S26" s="45" t="n">
        <x:v>87</x:v>
      </x:c>
      <x:c r="T26" s="46" t="n">
        <x:f>10+O26</x:f>
        <x:v>26</x:v>
      </x:c>
      <x:c r="U26" s="46" t="n">
        <x:f>10+P26</x:f>
        <x:v>101</x:v>
      </x:c>
      <x:c r="V26" s="46" t="n">
        <x:f>10+Q26</x:f>
        <x:v>68</x:v>
      </x:c>
      <x:c r="W26" s="46" t="n">
        <x:f>10+R26</x:f>
        <x:v>78</x:v>
      </x:c>
      <x:c r="X26" s="46" t="n">
        <x:f>10+S26</x:f>
        <x:v>97</x:v>
      </x:c>
      <x:c r="Y26" s="37" t="str">
        <x:v>影子分身、换位和刺杀术带来极高爆发与技能循环</x:v>
      </x:c>
      <x:c r="Z26" s="37" t="str">
        <x:v>待平衡测试</x:v>
      </x:c>
    </x:row>
  </x:sheetData>
  <x:mergeCells>
    <x:mergeCell ref="A1:H1"/>
    <x:mergeCell ref="A2:H2"/>
  </x:mergeCells>
  <x:conditionalFormatting sqref="Z5:Z26">
    <x:cfRule type="containsText" dxfId="0" priority="1" operator="containsText" text="待平衡测试"/>
    <x:cfRule type="containsText" dxfId="1" priority="2" operator="containsText" text="已平衡"/>
  </x:conditionalFormatting>
  <x:conditionalFormatting sqref="F5:N26">
    <x:cfRule type="colorScale" priority="3">
      <x:colorScale>
        <x:cfvo type="min"/>
        <x:cfvo type="percentile" val="50"/>
        <x:cfvo type="max"/>
        <x:color rgb="FFE8EFF4"/>
        <x:color rgb="FF9EC4D9"/>
        <x:color rgb="FF356B87"/>
      </x:colorScale>
    </x:cfRule>
  </x:conditionalFormatting>
  <x:conditionalFormatting sqref="O5:S26">
    <x:cfRule type="colorScale" priority="4">
      <x:colorScale>
        <x:cfvo type="min"/>
        <x:cfvo type="percentile" val="50"/>
        <x:cfvo type="max"/>
        <x:color rgb="FFF7EED6"/>
        <x:color rgb="FFD8B86C"/>
        <x:color rgb="FF8C6731"/>
      </x:colorScale>
    </x:cfRule>
  </x:conditionalFormatting>
  <x:conditionalFormatting sqref="T5:X26">
    <x:cfRule type="colorScale" priority="5">
      <x:colorScale>
        <x:cfvo type="min"/>
        <x:cfvo type="percentile" val="50"/>
        <x:cfvo type="max"/>
        <x:color rgb="FFEEE8F5"/>
        <x:color rgb="FFB8A2D2"/>
        <x:color rgb="FF675080"/>
      </x:colorScale>
    </x:cfRule>
  </x:conditionalFormatting>
  <x:dataValidations count="6">
    <x:dataValidation type="whole" operator="between" sqref="O5:O26">
      <x:formula1>0</x:formula1>
      <x:formula2>100</x:formula2>
    </x:dataValidation>
    <x:dataValidation type="whole" operator="between" sqref="P5:P26">
      <x:formula1>0</x:formula1>
      <x:formula2>100</x:formula2>
    </x:dataValidation>
    <x:dataValidation type="whole" operator="between" sqref="Q5:Q26">
      <x:formula1>0</x:formula1>
      <x:formula2>100</x:formula2>
    </x:dataValidation>
    <x:dataValidation type="whole" operator="between" sqref="R5:R26">
      <x:formula1>0</x:formula1>
      <x:formula2>100</x:formula2>
    </x:dataValidation>
    <x:dataValidation type="whole" operator="between" sqref="S5:S26">
      <x:formula1>0</x:formula1>
      <x:formula2>100</x:formula2>
    </x:dataValidation>
    <x:dataValidation type="list" sqref="Z5:Z26">
      <x:formula1>"待平衡测试,测试中,已平衡,锁定"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4260df204a6458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1" hidden="0" customWidth="1"/>
    <x:col min="3" max="3" width="14" hidden="0" customWidth="1"/>
    <x:col min="4" max="4" width="18" hidden="0" customWidth="1"/>
    <x:col min="5" max="5" width="10" hidden="0" customWidth="1"/>
    <x:col min="6" max="6" width="11" hidden="0" customWidth="1"/>
    <x:col min="7" max="7" width="28" hidden="0" customWidth="1"/>
    <x:col min="8" max="8" width="24" hidden="0" customWidth="1"/>
    <x:col min="9" max="9" width="18" hidden="0" customWidth="1"/>
    <x:col min="10" max="10" width="30" hidden="0" customWidth="1"/>
    <x:col min="11" max="11" width="34" hidden="0" customWidth="1"/>
    <x:col min="12" max="12" width="38" hidden="0" customWidth="1"/>
    <x:col min="13" max="13" width="38" hidden="0" customWidth="1"/>
    <x:col min="14" max="14" width="40" hidden="0" customWidth="1"/>
    <x:col min="15" max="15" width="12" hidden="0" customWidth="1"/>
    <x:col min="16" max="16" width="30" hidden="0" customWidth="1"/>
  </x:cols>
  <x:sheetData>
    <x:row r="1" ht="32" customHeight="1">
      <x:c r="A1" s="3" t="str">
        <x:v>22位英雄角色声线规格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34" customHeight="1">
      <x:c r="A2" s="7" t="str">
        <x:v>声线描述是原创表演方向，不是对官方演员声音的复刻指令。所有“禁用方向”必须在试音前传达给演员。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4">
      <x:c r="A4" s="12" t="str">
        <x:v>英雄ID</x:v>
      </x:c>
      <x:c r="B4" s="12" t="str">
        <x:v>英雄名</x:v>
      </x:c>
      <x:c r="C4" s="12" t="str">
        <x:v>称号</x:v>
      </x:c>
      <x:c r="D4" s="12" t="str">
        <x:v>年龄感/身份感</x:v>
      </x:c>
      <x:c r="E4" s="12" t="str">
        <x:v>音高</x:v>
      </x:c>
      <x:c r="F4" s="12" t="str">
        <x:v>语速</x:v>
      </x:c>
      <x:c r="G4" s="12" t="str">
        <x:v>音色关键词</x:v>
      </x:c>
      <x:c r="H4" s="12" t="str">
        <x:v>咬字方式</x:v>
      </x:c>
      <x:c r="I4" s="12" t="str">
        <x:v>呼吸特征</x:v>
      </x:c>
      <x:c r="J4" s="12" t="str">
        <x:v>情绪跨度</x:v>
      </x:c>
      <x:c r="K4" s="12" t="str">
        <x:v>战斗状态变化</x:v>
      </x:c>
      <x:c r="L4" s="12" t="str">
        <x:v>禁用表演方向</x:v>
      </x:c>
      <x:c r="M4" s="12" t="str">
        <x:v>参考人格摘要</x:v>
      </x:c>
      <x:c r="N4" s="12" t="str">
        <x:v>官方资料URL</x:v>
      </x:c>
      <x:c r="O4" s="12" t="str">
        <x:v>审核状态</x:v>
      </x:c>
      <x:c r="P4" s="12" t="str">
        <x:v>导演备注</x:v>
      </x:c>
    </x:row>
    <x:row r="5" ht="66" customHeight="1">
      <x:c r="A5" s="23" t="str">
        <x:v>ahri</x:v>
      </x:c>
      <x:c r="B5" s="23" t="str">
        <x:v>阿狸</x:v>
      </x:c>
      <x:c r="C5" s="23" t="str">
        <x:v>九尾妖狐</x:v>
      </x:c>
      <x:c r="D5" s="29" t="str">
        <x:v>青年女性</x:v>
      </x:c>
      <x:c r="E5" s="29" t="str">
        <x:v>中高</x:v>
      </x:c>
      <x:c r="F5" s="29" t="str">
        <x:v>偏慢</x:v>
      </x:c>
      <x:c r="G5" s="29" t="str">
        <x:v>柔润、带危险的空气感</x:v>
      </x:c>
      <x:c r="H5" s="29" t="str">
        <x:v>清晰但不生硬</x:v>
      </x:c>
      <x:c r="I5" s="29" t="str">
        <x:v>轻</x:v>
      </x:c>
      <x:c r="J5" s="29" t="str">
        <x:v>克制到骤然锐利</x:v>
      </x:c>
      <x:c r="K5" s="29" t="str">
        <x:v>战斗时减少气声、咬字更果断</x:v>
      </x:c>
      <x:c r="L5" s="29" t="str">
        <x:v>不得模仿任何现有配音演员的音色与口癖</x:v>
      </x:c>
      <x:c r="M5" s="29" t="str">
        <x:v>寻根者；温柔、含蓄、带感官意象</x:v>
      </x:c>
      <x:c r="N5" s="29" t="str">
        <x:v>https://universe.leagueoflegends.com/en_US/champion/ahri/</x:v>
      </x:c>
      <x:c r="O5" s="29" t="str">
        <x:v>待试音</x:v>
      </x:c>
      <x:c r="P5" s="29" t="str"/>
    </x:row>
    <x:row r="6" ht="66" customHeight="1">
      <x:c r="A6" s="24" t="str">
        <x:v>akali</x:v>
      </x:c>
      <x:c r="B6" s="24" t="str">
        <x:v>阿卡丽</x:v>
      </x:c>
      <x:c r="C6" s="24" t="str">
        <x:v>离群之刺</x:v>
      </x:c>
      <x:c r="D6" s="30" t="str">
        <x:v>青年女性</x:v>
      </x:c>
      <x:c r="E6" s="30" t="str">
        <x:v>中</x:v>
      </x:c>
      <x:c r="F6" s="30" t="str">
        <x:v>快</x:v>
      </x:c>
      <x:c r="G6" s="30" t="str">
        <x:v>干净、利落、略带沙感</x:v>
      </x:c>
      <x:c r="H6" s="30" t="str">
        <x:v>短促</x:v>
      </x:c>
      <x:c r="I6" s="30" t="str">
        <x:v>稳</x:v>
      </x:c>
      <x:c r="J6" s="30" t="str">
        <x:v>冷静到挑衅</x:v>
      </x:c>
      <x:c r="K6" s="30" t="str">
        <x:v>战斗时速度更快、尾音更短</x:v>
      </x:c>
      <x:c r="L6" s="30" t="str">
        <x:v>避免刻意少年音和过度叛逆腔</x:v>
      </x:c>
      <x:c r="M6" s="30" t="str">
        <x:v>独行守护者；短句、锋利、偶有年轻人的挑衅</x:v>
      </x:c>
      <x:c r="N6" s="30" t="str">
        <x:v>https://universe.leagueoflegends.com/en_US/champion/akali/</x:v>
      </x:c>
      <x:c r="O6" s="30" t="str">
        <x:v>待试音</x:v>
      </x:c>
      <x:c r="P6" s="30" t="str"/>
    </x:row>
    <x:row r="7" ht="66" customHeight="1">
      <x:c r="A7" s="24" t="str">
        <x:v>hwei</x:v>
      </x:c>
      <x:c r="B7" s="24" t="str">
        <x:v>惠</x:v>
      </x:c>
      <x:c r="C7" s="24" t="str">
        <x:v>异画师</x:v>
      </x:c>
      <x:c r="D7" s="30" t="str">
        <x:v>青年男性</x:v>
      </x:c>
      <x:c r="E7" s="30" t="str">
        <x:v>中</x:v>
      </x:c>
      <x:c r="F7" s="30" t="str">
        <x:v>偏慢</x:v>
      </x:c>
      <x:c r="G7" s="30" t="str">
        <x:v>细腻、疲惫、富有内在回响</x:v>
      </x:c>
      <x:c r="H7" s="30" t="str">
        <x:v>精细</x:v>
      </x:c>
      <x:c r="I7" s="30" t="str">
        <x:v>浅</x:v>
      </x:c>
      <x:c r="J7" s="30" t="str">
        <x:v>压抑到失控的强烈色彩</x:v>
      </x:c>
      <x:c r="K7" s="30" t="str">
        <x:v>施法时共鸣增强但保持克制</x:v>
      </x:c>
      <x:c r="L7" s="30" t="str">
        <x:v>避免持续阴郁耳语</x:v>
      </x:c>
      <x:c r="M7" s="30" t="str">
        <x:v>受创的创造者；细腻、画面化、层层递进</x:v>
      </x:c>
      <x:c r="N7" s="30" t="str">
        <x:v>https://universe.leagueoflegends.com/en_US/story/champion/hwei</x:v>
      </x:c>
      <x:c r="O7" s="30" t="str">
        <x:v>待试音</x:v>
      </x:c>
      <x:c r="P7" s="30" t="str"/>
    </x:row>
    <x:row r="8" ht="66" customHeight="1">
      <x:c r="A8" s="24" t="str">
        <x:v>irelia</x:v>
      </x:c>
      <x:c r="B8" s="24" t="str">
        <x:v>艾瑞莉娅</x:v>
      </x:c>
      <x:c r="C8" s="24" t="str">
        <x:v>刀锋舞者</x:v>
      </x:c>
      <x:c r="D8" s="30" t="str">
        <x:v>青年女性</x:v>
      </x:c>
      <x:c r="E8" s="30" t="str">
        <x:v>中</x:v>
      </x:c>
      <x:c r="F8" s="30" t="str">
        <x:v>中速</x:v>
      </x:c>
      <x:c r="G8" s="30" t="str">
        <x:v>坚韧、温暖、庄重</x:v>
      </x:c>
      <x:c r="H8" s="30" t="str">
        <x:v>清晰</x:v>
      </x:c>
      <x:c r="I8" s="30" t="str">
        <x:v>稳</x:v>
      </x:c>
      <x:c r="J8" s="30" t="str">
        <x:v>怀念到决绝</x:v>
      </x:c>
      <x:c r="K8" s="30" t="str">
        <x:v>战斗时节奏如舞步、指令清楚</x:v>
      </x:c>
      <x:c r="L8" s="30" t="str">
        <x:v>避免喊口号式扁平英雄腔</x:v>
      </x:c>
      <x:c r="M8" s="30" t="str">
        <x:v>被迫成为旗帜的守护者；庄重清晰，情绪在克制下涌动</x:v>
      </x:c>
      <x:c r="N8" s="30" t="str">
        <x:v>https://universe.leagueoflegends.com/en_US/champion/irelia/</x:v>
      </x:c>
      <x:c r="O8" s="30" t="str">
        <x:v>待试音</x:v>
      </x:c>
      <x:c r="P8" s="30" t="str"/>
    </x:row>
    <x:row r="9" ht="66" customHeight="1">
      <x:c r="A9" s="24" t="str">
        <x:v>ivern</x:v>
      </x:c>
      <x:c r="B9" s="24" t="str">
        <x:v>艾翁</x:v>
      </x:c>
      <x:c r="C9" s="24" t="str">
        <x:v>翠神</x:v>
      </x:c>
      <x:c r="D9" s="30" t="str">
        <x:v>成年男性</x:v>
      </x:c>
      <x:c r="E9" s="30" t="str">
        <x:v>中高</x:v>
      </x:c>
      <x:c r="F9" s="30" t="str">
        <x:v>舒缓</x:v>
      </x:c>
      <x:c r="G9" s="30" t="str">
        <x:v>木质、温暖、奇异亲切</x:v>
      </x:c>
      <x:c r="H9" s="30" t="str">
        <x:v>松弛</x:v>
      </x:c>
      <x:c r="I9" s="30" t="str">
        <x:v>自然</x:v>
      </x:c>
      <x:c r="J9" s="30" t="str">
        <x:v>童真到古老悲悯</x:v>
      </x:c>
      <x:c r="K9" s="30" t="str">
        <x:v>危险时仍温和但重音明确</x:v>
      </x:c>
      <x:c r="L9" s="30" t="str">
        <x:v>不可幼儿化或模仿特定喜剧声线</x:v>
      </x:c>
      <x:c r="M9" s="30" t="str">
        <x:v>赎罪的自然引路人；轻快、奇异、拟人化自然比喻</x:v>
      </x:c>
      <x:c r="N9" s="30" t="str">
        <x:v>https://universe.leagueoflegends.com/en_US/champion/ivern/</x:v>
      </x:c>
      <x:c r="O9" s="30" t="str">
        <x:v>待试音</x:v>
      </x:c>
      <x:c r="P9" s="30" t="str"/>
    </x:row>
    <x:row r="10" ht="66" customHeight="1">
      <x:c r="A10" s="24" t="str">
        <x:v>jhin</x:v>
      </x:c>
      <x:c r="B10" s="24" t="str">
        <x:v>烬</x:v>
      </x:c>
      <x:c r="C10" s="24" t="str">
        <x:v>戏命师</x:v>
      </x:c>
      <x:c r="D10" s="30" t="str">
        <x:v>成年男性</x:v>
      </x:c>
      <x:c r="E10" s="30" t="str">
        <x:v>中低</x:v>
      </x:c>
      <x:c r="F10" s="30" t="str">
        <x:v>精确偏慢</x:v>
      </x:c>
      <x:c r="G10" s="30" t="str">
        <x:v>丝绒感、舞台化、冷</x:v>
      </x:c>
      <x:c r="H10" s="30" t="str">
        <x:v>字字分明</x:v>
      </x:c>
      <x:c r="I10" s="30" t="str">
        <x:v>受控</x:v>
      </x:c>
      <x:c r="J10" s="30" t="str">
        <x:v>礼貌到狂热</x:v>
      </x:c>
      <x:c r="K10" s="30" t="str">
        <x:v>杀意上升时仍保持节拍控制</x:v>
      </x:c>
      <x:c r="L10" s="30" t="str">
        <x:v>不可美化杀戮，不模仿官方表演细节</x:v>
      </x:c>
      <x:c r="M10" s="30" t="str">
        <x:v>审美化暴力的控制者；讲究节拍、停顿与舞台术语</x:v>
      </x:c>
      <x:c r="N10" s="30" t="str">
        <x:v>https://universe.leagueoflegends.com/en_US/champion/jhin/</x:v>
      </x:c>
      <x:c r="O10" s="30" t="str">
        <x:v>待试音</x:v>
      </x:c>
      <x:c r="P10" s="30" t="str"/>
    </x:row>
    <x:row r="11" ht="66" customHeight="1">
      <x:c r="A11" s="24" t="str">
        <x:v>karma</x:v>
      </x:c>
      <x:c r="B11" s="24" t="str">
        <x:v>卡尔玛</x:v>
      </x:c>
      <x:c r="C11" s="24" t="str">
        <x:v>天启者</x:v>
      </x:c>
      <x:c r="D11" s="30" t="str">
        <x:v>成年女性</x:v>
      </x:c>
      <x:c r="E11" s="30" t="str">
        <x:v>中低</x:v>
      </x:c>
      <x:c r="F11" s="30" t="str">
        <x:v>偏慢</x:v>
      </x:c>
      <x:c r="G11" s="30" t="str">
        <x:v>沉稳、通透、有承载感</x:v>
      </x:c>
      <x:c r="H11" s="30" t="str">
        <x:v>端正</x:v>
      </x:c>
      <x:c r="I11" s="30" t="str">
        <x:v>深稳</x:v>
      </x:c>
      <x:c r="J11" s="30" t="str">
        <x:v>慈悲到威严</x:v>
      </x:c>
      <x:c r="K11" s="30" t="str">
        <x:v>动用力量时音量不必大但共鸣更深</x:v>
      </x:c>
      <x:c r="L11" s="30" t="str">
        <x:v>避免神棍腔与全知语气</x:v>
      </x:c>
      <x:c r="M11" s="30" t="str">
        <x:v>承载众生的转世领袖；沉稳、凝练、常从长时段观察当下</x:v>
      </x:c>
      <x:c r="N11" s="30" t="str">
        <x:v>https://universe.leagueoflegends.com/en_US/champion/karma/</x:v>
      </x:c>
      <x:c r="O11" s="30" t="str">
        <x:v>待试音</x:v>
      </x:c>
      <x:c r="P11" s="30" t="str"/>
    </x:row>
    <x:row r="12" ht="66" customHeight="1">
      <x:c r="A12" s="24" t="str">
        <x:v>kayn</x:v>
      </x:c>
      <x:c r="B12" s="24" t="str">
        <x:v>凯隐</x:v>
      </x:c>
      <x:c r="C12" s="24" t="str">
        <x:v>影流之镰</x:v>
      </x:c>
      <x:c r="D12" s="30" t="str">
        <x:v>青年男性</x:v>
      </x:c>
      <x:c r="E12" s="30" t="str">
        <x:v>中低</x:v>
      </x:c>
      <x:c r="F12" s="30" t="str">
        <x:v>偏快</x:v>
      </x:c>
      <x:c r="G12" s="30" t="str">
        <x:v>锋利、冷傲</x:v>
      </x:c>
      <x:c r="H12" s="30" t="str">
        <x:v>紧实</x:v>
      </x:c>
      <x:c r="I12" s="30" t="str">
        <x:v>稳</x:v>
      </x:c>
      <x:c r="J12" s="30" t="str">
        <x:v>轻蔑到爆发</x:v>
      </x:c>
      <x:c r="K12" s="30" t="str">
        <x:v>战斗时攻击性增强；与暗裔声线须分轨</x:v>
      </x:c>
      <x:c r="L12" s="30" t="str">
        <x:v>不可与拉亚斯特使用同一处理</x:v>
      </x:c>
      <x:c r="M12" s="30" t="str">
        <x:v>野心勃勃的继承者；挑衅、简短、带优越感</x:v>
      </x:c>
      <x:c r="N12" s="30" t="str">
        <x:v>https://universe.leagueoflegends.com/en_US/champion/kayn/</x:v>
      </x:c>
      <x:c r="O12" s="30" t="str">
        <x:v>待试音</x:v>
      </x:c>
      <x:c r="P12" s="30" t="str"/>
    </x:row>
    <x:row r="13" ht="66" customHeight="1">
      <x:c r="A13" s="24" t="str">
        <x:v>kennen</x:v>
      </x:c>
      <x:c r="B13" s="24" t="str">
        <x:v>凯南</x:v>
      </x:c>
      <x:c r="C13" s="24" t="str">
        <x:v>狂暴之心</x:v>
      </x:c>
      <x:c r="D13" s="30" t="str">
        <x:v>成年男性感</x:v>
      </x:c>
      <x:c r="E13" s="30" t="str">
        <x:v>中高</x:v>
      </x:c>
      <x:c r="F13" s="30" t="str">
        <x:v>快</x:v>
      </x:c>
      <x:c r="G13" s="30" t="str">
        <x:v>明亮、敏捷、可靠</x:v>
      </x:c>
      <x:c r="H13" s="30" t="str">
        <x:v>清脆</x:v>
      </x:c>
      <x:c r="I13" s="30" t="str">
        <x:v>轻快</x:v>
      </x:c>
      <x:c r="J13" s="30" t="str">
        <x:v>友善到严肃</x:v>
      </x:c>
      <x:c r="K13" s="30" t="str">
        <x:v>战斗时能量高但不尖叫</x:v>
      </x:c>
      <x:c r="L13" s="30" t="str">
        <x:v>不可因约德尔身份使用幼童声</x:v>
      </x:c>
      <x:c r="M13" s="30" t="str">
        <x:v>跨世代的调停者；敏捷明快，偶尔以年长视角点拨</x:v>
      </x:c>
      <x:c r="N13" s="30" t="str">
        <x:v>https://universe.leagueoflegends.com/en_US/champion/kennen/</x:v>
      </x:c>
      <x:c r="O13" s="30" t="str">
        <x:v>待试音</x:v>
      </x:c>
      <x:c r="P13" s="30" t="str"/>
    </x:row>
    <x:row r="14" ht="66" customHeight="1">
      <x:c r="A14" s="24" t="str">
        <x:v>lee_sin</x:v>
      </x:c>
      <x:c r="B14" s="24" t="str">
        <x:v>李青</x:v>
      </x:c>
      <x:c r="C14" s="24" t="str">
        <x:v>盲僧</x:v>
      </x:c>
      <x:c r="D14" s="30" t="str">
        <x:v>成年男性</x:v>
      </x:c>
      <x:c r="E14" s="30" t="str">
        <x:v>低</x:v>
      </x:c>
      <x:c r="F14" s="30" t="str">
        <x:v>慢</x:v>
      </x:c>
      <x:c r="G14" s="30" t="str">
        <x:v>坚实、平静、带胸腔共鸣</x:v>
      </x:c>
      <x:c r="H14" s="30" t="str">
        <x:v>简洁</x:v>
      </x:c>
      <x:c r="I14" s="30" t="str">
        <x:v>深</x:v>
      </x:c>
      <x:c r="J14" s="30" t="str">
        <x:v>平和到雷霆般集中</x:v>
      </x:c>
      <x:c r="K14" s="30" t="str">
        <x:v>战斗时以呼吸和短句带动，不持续怒吼</x:v>
      </x:c>
      <x:c r="L14" s="30" t="str">
        <x:v>避免神秘东方刻板口音</x:v>
      </x:c>
      <x:c r="M14" s="30" t="str">
        <x:v>以纪律约束力量的赎罪者；短而有力，重呼吸、感知与行动</x:v>
      </x:c>
      <x:c r="N14" s="30" t="str">
        <x:v>https://universe.leagueoflegends.com/en_US/story/champion/leesin/</x:v>
      </x:c>
      <x:c r="O14" s="30" t="str">
        <x:v>待试音</x:v>
      </x:c>
      <x:c r="P14" s="30" t="str"/>
    </x:row>
    <x:row r="15" ht="66" customHeight="1">
      <x:c r="A15" s="24" t="str">
        <x:v>lillia</x:v>
      </x:c>
      <x:c r="B15" s="24" t="str">
        <x:v>莉莉娅</x:v>
      </x:c>
      <x:c r="C15" s="24" t="str">
        <x:v>含羞蓓蕾</x:v>
      </x:c>
      <x:c r="D15" s="30" t="str">
        <x:v>青年女性</x:v>
      </x:c>
      <x:c r="E15" s="30" t="str">
        <x:v>中高</x:v>
      </x:c>
      <x:c r="F15" s="30" t="str">
        <x:v>轻快但犹疑</x:v>
      </x:c>
      <x:c r="G15" s="30" t="str">
        <x:v>柔软、梦幻、略带颤动</x:v>
      </x:c>
      <x:c r="H15" s="30" t="str">
        <x:v>轻柔</x:v>
      </x:c>
      <x:c r="I15" s="30" t="str">
        <x:v>浅</x:v>
      </x:c>
      <x:c r="J15" s="30" t="str">
        <x:v>羞怯到勇敢</x:v>
      </x:c>
      <x:c r="K15" s="30" t="str">
        <x:v>危机中颤抖减少、句子更完整</x:v>
      </x:c>
      <x:c r="L15" s="30" t="str">
        <x:v>不可把口吃当唯一角色特征</x:v>
      </x:c>
      <x:c r="M15" s="30" t="str">
        <x:v>羞怯的梦境守护者；轻柔、犹疑、带梦与花的意象</x:v>
      </x:c>
      <x:c r="N15" s="30" t="str">
        <x:v>https://universe.leagueoflegends.com/en_US/champion/lillia/</x:v>
      </x:c>
      <x:c r="O15" s="30" t="str">
        <x:v>待试音</x:v>
      </x:c>
      <x:c r="P15" s="30" t="str"/>
    </x:row>
    <x:row r="16" ht="66" customHeight="1">
      <x:c r="A16" s="24" t="str">
        <x:v>master_yi</x:v>
      </x:c>
      <x:c r="B16" s="24" t="str">
        <x:v>易</x:v>
      </x:c>
      <x:c r="C16" s="24" t="str">
        <x:v>无极剑圣</x:v>
      </x:c>
      <x:c r="D16" s="30" t="str">
        <x:v>成年男性</x:v>
      </x:c>
      <x:c r="E16" s="30" t="str">
        <x:v>中低</x:v>
      </x:c>
      <x:c r="F16" s="30" t="str">
        <x:v>慢</x:v>
      </x:c>
      <x:c r="G16" s="30" t="str">
        <x:v>清澈、克制、带空间感</x:v>
      </x:c>
      <x:c r="H16" s="30" t="str">
        <x:v>精确</x:v>
      </x:c>
      <x:c r="I16" s="30" t="str">
        <x:v>稳</x:v>
      </x:c>
      <x:c r="J16" s="30" t="str">
        <x:v>沉思到迅疾决断</x:v>
      </x:c>
      <x:c r="K16" s="30" t="str">
        <x:v>战斗台词极短、速度突然提升</x:v>
      </x:c>
      <x:c r="L16" s="30" t="str">
        <x:v>避免连续格言与刻板大师腔</x:v>
      </x:c>
      <x:c r="M16" s="30" t="str">
        <x:v>幸存的传承者；精炼、哲思、以动作和自然作比</x:v>
      </x:c>
      <x:c r="N16" s="30" t="str">
        <x:v>https://universe.leagueoflegends.com/en_US/champion/masteryi/</x:v>
      </x:c>
      <x:c r="O16" s="30" t="str">
        <x:v>待试音</x:v>
      </x:c>
      <x:c r="P16" s="30" t="str"/>
    </x:row>
    <x:row r="17" ht="66" customHeight="1">
      <x:c r="A17" s="24" t="str">
        <x:v>rakan</x:v>
      </x:c>
      <x:c r="B17" s="24" t="str">
        <x:v>洛</x:v>
      </x:c>
      <x:c r="C17" s="24" t="str">
        <x:v>幻翎</x:v>
      </x:c>
      <x:c r="D17" s="30" t="str">
        <x:v>青年男性</x:v>
      </x:c>
      <x:c r="E17" s="30" t="str">
        <x:v>中高</x:v>
      </x:c>
      <x:c r="F17" s="30" t="str">
        <x:v>快</x:v>
      </x:c>
      <x:c r="G17" s="30" t="str">
        <x:v>明亮、华丽、富有音乐性</x:v>
      </x:c>
      <x:c r="H17" s="30" t="str">
        <x:v>弹性强</x:v>
      </x:c>
      <x:c r="I17" s="30" t="str">
        <x:v>开放</x:v>
      </x:c>
      <x:c r="J17" s="30" t="str">
        <x:v>调笑到真挚</x:v>
      </x:c>
      <x:c r="K17" s="30" t="str">
        <x:v>战斗时像舞台高潮但指令可辨</x:v>
      </x:c>
      <x:c r="L17" s="30" t="str">
        <x:v>避免油腻和持续轻浮</x:v>
      </x:c>
      <x:c r="M17" s="30" t="str">
        <x:v>以自由点燃他人的表演者；跳跃、明亮、富有节奏</x:v>
      </x:c>
      <x:c r="N17" s="30" t="str">
        <x:v>https://universe.leagueoflegends.com/en_US/champion/rakan/</x:v>
      </x:c>
      <x:c r="O17" s="30" t="str">
        <x:v>待试音</x:v>
      </x:c>
      <x:c r="P17" s="30" t="str"/>
    </x:row>
    <x:row r="18" ht="66" customHeight="1">
      <x:c r="A18" s="24" t="str">
        <x:v>sett</x:v>
      </x:c>
      <x:c r="B18" s="24" t="str">
        <x:v>瑟提</x:v>
      </x:c>
      <x:c r="C18" s="24" t="str">
        <x:v>腕豪</x:v>
      </x:c>
      <x:c r="D18" s="30" t="str">
        <x:v>青年男性</x:v>
      </x:c>
      <x:c r="E18" s="30" t="str">
        <x:v>低</x:v>
      </x:c>
      <x:c r="F18" s="30" t="str">
        <x:v>中快</x:v>
      </x:c>
      <x:c r="G18" s="30" t="str">
        <x:v>粗粝、厚实、街头感</x:v>
      </x:c>
      <x:c r="H18" s="30" t="str">
        <x:v>直接</x:v>
      </x:c>
      <x:c r="I18" s="30" t="str">
        <x:v>重</x:v>
      </x:c>
      <x:c r="J18" s="30" t="str">
        <x:v>玩笑到威胁</x:v>
      </x:c>
      <x:c r="K18" s="30" t="str">
        <x:v>战斗时爆发强但保留清晰度</x:v>
      </x:c>
      <x:c r="L18" s="30" t="str">
        <x:v>避免无脑吼叫或模仿职业摔角腔</x:v>
      </x:c>
      <x:c r="M18" s="30" t="str">
        <x:v>以强硬保护脆弱的街头统治者；直接、街头化、带交易和威胁</x:v>
      </x:c>
      <x:c r="N18" s="30" t="str">
        <x:v>https://universe.leagueoflegends.com/en_US/champion/sett/</x:v>
      </x:c>
      <x:c r="O18" s="30" t="str">
        <x:v>待试音</x:v>
      </x:c>
      <x:c r="P18" s="30" t="str"/>
    </x:row>
    <x:row r="19" ht="66" customHeight="1">
      <x:c r="A19" s="24" t="str">
        <x:v>shen</x:v>
      </x:c>
      <x:c r="B19" s="24" t="str">
        <x:v>慎</x:v>
      </x:c>
      <x:c r="C19" s="24" t="str">
        <x:v>暮光之眼</x:v>
      </x:c>
      <x:c r="D19" s="30" t="str">
        <x:v>成年男性</x:v>
      </x:c>
      <x:c r="E19" s="30" t="str">
        <x:v>低</x:v>
      </x:c>
      <x:c r="F19" s="30" t="str">
        <x:v>慢</x:v>
      </x:c>
      <x:c r="G19" s="30" t="str">
        <x:v>冷静、坚实、留白多</x:v>
      </x:c>
      <x:c r="H19" s="30" t="str">
        <x:v>克制</x:v>
      </x:c>
      <x:c r="I19" s="30" t="str">
        <x:v>深稳</x:v>
      </x:c>
      <x:c r="J19" s="30" t="str">
        <x:v>客观到隐约痛苦</x:v>
      </x:c>
      <x:c r="K19" s="30" t="str">
        <x:v>战斗时仍保持节制和命令感</x:v>
      </x:c>
      <x:c r="L19" s="30" t="str">
        <x:v>避免机器人式无情</x:v>
      </x:c>
      <x:c r="M19" s="30" t="str">
        <x:v>压抑私情的秩序守门人；客观、低沉、很少多余修饰</x:v>
      </x:c>
      <x:c r="N19" s="30" t="str">
        <x:v>https://universe.leagueoflegends.com/en_US/champion/shen/</x:v>
      </x:c>
      <x:c r="O19" s="30" t="str">
        <x:v>待试音</x:v>
      </x:c>
      <x:c r="P19" s="30" t="str"/>
    </x:row>
    <x:row r="20" ht="66" customHeight="1">
      <x:c r="A20" s="24" t="str">
        <x:v>syndra</x:v>
      </x:c>
      <x:c r="B20" s="24" t="str">
        <x:v>辛德拉</x:v>
      </x:c>
      <x:c r="C20" s="24" t="str">
        <x:v>暗黑元首</x:v>
      </x:c>
      <x:c r="D20" s="30" t="str">
        <x:v>成年女性</x:v>
      </x:c>
      <x:c r="E20" s="30" t="str">
        <x:v>中低</x:v>
      </x:c>
      <x:c r="F20" s="30" t="str">
        <x:v>偏慢</x:v>
      </x:c>
      <x:c r="G20" s="30" t="str">
        <x:v>冷冽、悬浮感、强控制力</x:v>
      </x:c>
      <x:c r="H20" s="30" t="str">
        <x:v>锐利</x:v>
      </x:c>
      <x:c r="I20" s="30" t="str">
        <x:v>稳</x:v>
      </x:c>
      <x:c r="J20" s="30" t="str">
        <x:v>疏离到压倒性愤怒</x:v>
      </x:c>
      <x:c r="K20" s="30" t="str">
        <x:v>爆发时增加共鸣与空间，不尖叫</x:v>
      </x:c>
      <x:c r="L20" s="30" t="str">
        <x:v>避免单一疯癫女巫腔</x:v>
      </x:c>
      <x:c r="M20" s="30" t="str">
        <x:v>被压制力量的绝对自主者；强硬、凝缩、带压迫性的意象</x:v>
      </x:c>
      <x:c r="N20" s="30" t="str">
        <x:v>https://universe.leagueoflegends.com/en_US/story/champion/syndra</x:v>
      </x:c>
      <x:c r="O20" s="30" t="str">
        <x:v>待试音</x:v>
      </x:c>
      <x:c r="P20" s="30" t="str"/>
    </x:row>
    <x:row r="21" ht="66" customHeight="1">
      <x:c r="A21" s="24" t="str">
        <x:v>varus</x:v>
      </x:c>
      <x:c r="B21" s="24" t="str">
        <x:v>韦鲁斯</x:v>
      </x:c>
      <x:c r="C21" s="24" t="str">
        <x:v>惩戒之箭</x:v>
      </x:c>
      <x:c r="D21" s="30" t="str">
        <x:v>成年男性复合感</x:v>
      </x:c>
      <x:c r="E21" s="30" t="str">
        <x:v>低</x:v>
      </x:c>
      <x:c r="F21" s="30" t="str">
        <x:v>慢</x:v>
      </x:c>
      <x:c r="G21" s="30" t="str">
        <x:v>古老、金属感、内部有裂隙</x:v>
      </x:c>
      <x:c r="H21" s="30" t="str">
        <x:v>沉重</x:v>
      </x:c>
      <x:c r="I21" s="30" t="str">
        <x:v>深</x:v>
      </x:c>
      <x:c r="J21" s="30" t="str">
        <x:v>冷酷到多意志冲突</x:v>
      </x:c>
      <x:c r="K21" s="30" t="str">
        <x:v>宿主意识出现时应有细微层次差异</x:v>
      </x:c>
      <x:c r="L21" s="30" t="str">
        <x:v>不得用简单回声代替三重人格表演</x:v>
      </x:c>
      <x:c r="M21" s="30" t="str">
        <x:v>三重意志的复仇容器；低沉、古老、偶有多重意识裂缝</x:v>
      </x:c>
      <x:c r="N21" s="30" t="str">
        <x:v>https://universe.leagueoflegends.com/en_US/story/champion/varus/</x:v>
      </x:c>
      <x:c r="O21" s="30" t="str">
        <x:v>待试音</x:v>
      </x:c>
      <x:c r="P21" s="30" t="str"/>
    </x:row>
    <x:row r="22" ht="66" customHeight="1">
      <x:c r="A22" s="24" t="str">
        <x:v>wukong</x:v>
      </x:c>
      <x:c r="B22" s="24" t="str">
        <x:v>悟空</x:v>
      </x:c>
      <x:c r="C22" s="24" t="str">
        <x:v>齐天大圣</x:v>
      </x:c>
      <x:c r="D22" s="30" t="str">
        <x:v>青年男性</x:v>
      </x:c>
      <x:c r="E22" s="30" t="str">
        <x:v>中高</x:v>
      </x:c>
      <x:c r="F22" s="30" t="str">
        <x:v>快</x:v>
      </x:c>
      <x:c r="G22" s="30" t="str">
        <x:v>灵活、明亮、带笑意</x:v>
      </x:c>
      <x:c r="H22" s="30" t="str">
        <x:v>跳跃</x:v>
      </x:c>
      <x:c r="I22" s="30" t="str">
        <x:v>活跃</x:v>
      </x:c>
      <x:c r="J22" s="30" t="str">
        <x:v>顽皮到认真</x:v>
      </x:c>
      <x:c r="K22" s="30" t="str">
        <x:v>战斗时好胜但不失清晰</x:v>
      </x:c>
      <x:c r="L22" s="30" t="str">
        <x:v>避免卡通猴叫与纯搞笑演法</x:v>
      </x:c>
      <x:c r="M22" s="30" t="str">
        <x:v>顽皮而上进的挑战者；灵活、俏皮、喜欢挑战性的比喻</x:v>
      </x:c>
      <x:c r="N22" s="30" t="str">
        <x:v>https://www.leagueoflegends.com/en-us/champions/monkeyking/</x:v>
      </x:c>
      <x:c r="O22" s="30" t="str">
        <x:v>待试音</x:v>
      </x:c>
      <x:c r="P22" s="30" t="str"/>
    </x:row>
    <x:row r="23" ht="66" customHeight="1">
      <x:c r="A23" s="24" t="str">
        <x:v>xayah</x:v>
      </x:c>
      <x:c r="B23" s="24" t="str">
        <x:v>霞</x:v>
      </x:c>
      <x:c r="C23" s="24" t="str">
        <x:v>逆羽</x:v>
      </x:c>
      <x:c r="D23" s="30" t="str">
        <x:v>青年女性</x:v>
      </x:c>
      <x:c r="E23" s="30" t="str">
        <x:v>中低</x:v>
      </x:c>
      <x:c r="F23" s="30" t="str">
        <x:v>中快</x:v>
      </x:c>
      <x:c r="G23" s="30" t="str">
        <x:v>冷、锐、带压抑怒意</x:v>
      </x:c>
      <x:c r="H23" s="30" t="str">
        <x:v>短促</x:v>
      </x:c>
      <x:c r="I23" s="30" t="str">
        <x:v>稳</x:v>
      </x:c>
      <x:c r="J23" s="30" t="str">
        <x:v>讽刺到真切关怀</x:v>
      </x:c>
      <x:c r="K23" s="30" t="str">
        <x:v>战斗时命令更硬，提及洛时可稍柔</x:v>
      </x:c>
      <x:c r="L23" s="30" t="str">
        <x:v>避免只剩冷漠或恋爱语气</x:v>
      </x:c>
      <x:c r="M23" s="30" t="str">
        <x:v>以革命保护族群的现实主义者；短促、讽刺、政治立场清楚</x:v>
      </x:c>
      <x:c r="N23" s="30" t="str">
        <x:v>https://universe.leagueoflegends.com/en_US/champion/xayah/</x:v>
      </x:c>
      <x:c r="O23" s="30" t="str">
        <x:v>待试音</x:v>
      </x:c>
      <x:c r="P23" s="30" t="str"/>
    </x:row>
    <x:row r="24" ht="66" customHeight="1">
      <x:c r="A24" s="24" t="str">
        <x:v>yasuo</x:v>
      </x:c>
      <x:c r="B24" s="24" t="str">
        <x:v>亚索</x:v>
      </x:c>
      <x:c r="C24" s="24" t="str">
        <x:v>疾风剑豪</x:v>
      </x:c>
      <x:c r="D24" s="30" t="str">
        <x:v>成年男性</x:v>
      </x:c>
      <x:c r="E24" s="30" t="str">
        <x:v>低</x:v>
      </x:c>
      <x:c r="F24" s="30" t="str">
        <x:v>偏慢</x:v>
      </x:c>
      <x:c r="G24" s="30" t="str">
        <x:v>风沙感、疲惫、内敛</x:v>
      </x:c>
      <x:c r="H24" s="30" t="str">
        <x:v>简短</x:v>
      </x:c>
      <x:c r="I24" s="30" t="str">
        <x:v>轻深交替</x:v>
      </x:c>
      <x:c r="J24" s="30" t="str">
        <x:v>疏离到痛苦决断</x:v>
      </x:c>
      <x:c r="K24" s="30" t="str">
        <x:v>战斗时更短更稳，不持续咆哮</x:v>
      </x:c>
      <x:c r="L24" s="30" t="str">
        <x:v>避免刻意沧桑和醉汉化</x:v>
      </x:c>
      <x:c r="M24" s="30" t="str">
        <x:v>背负罪责的漂泊剑客；简短、风与酒意象、带自嘲</x:v>
      </x:c>
      <x:c r="N24" s="30" t="str">
        <x:v>https://universe.leagueoflegends.com/en_US/story/champion/yasuo</x:v>
      </x:c>
      <x:c r="O24" s="30" t="str">
        <x:v>待试音</x:v>
      </x:c>
      <x:c r="P24" s="30" t="str"/>
    </x:row>
    <x:row r="25" ht="66" customHeight="1">
      <x:c r="A25" s="24" t="str">
        <x:v>yone</x:v>
      </x:c>
      <x:c r="B25" s="24" t="str">
        <x:v>永恩</x:v>
      </x:c>
      <x:c r="C25" s="24" t="str">
        <x:v>封魔剑魂</x:v>
      </x:c>
      <x:c r="D25" s="30" t="str">
        <x:v>成年男性</x:v>
      </x:c>
      <x:c r="E25" s="30" t="str">
        <x:v>低</x:v>
      </x:c>
      <x:c r="F25" s="30" t="str">
        <x:v>慢</x:v>
      </x:c>
      <x:c r="G25" s="30" t="str">
        <x:v>幽冷、干净、近乎无尘</x:v>
      </x:c>
      <x:c r="H25" s="30" t="str">
        <x:v>精确</x:v>
      </x:c>
      <x:c r="I25" s="30" t="str">
        <x:v>稳</x:v>
      </x:c>
      <x:c r="J25" s="30" t="str">
        <x:v>平静到锋利警觉</x:v>
      </x:c>
      <x:c r="K25" s="30" t="str">
        <x:v>面对恶灵时重音更清楚、节奏收紧</x:v>
      </x:c>
      <x:c r="L25" s="30" t="str">
        <x:v>避免鬼怪特效遮盖台词</x:v>
      </x:c>
      <x:c r="M25" s="30" t="str">
        <x:v>猎杀心魔的归来者；克制、幽冷、分辨名称与本质</x:v>
      </x:c>
      <x:c r="N25" s="30" t="str">
        <x:v>https://universe.leagueoflegends.com/en_US/story/champion/yone</x:v>
      </x:c>
      <x:c r="O25" s="30" t="str">
        <x:v>待试音</x:v>
      </x:c>
      <x:c r="P25" s="30" t="str"/>
    </x:row>
    <x:row r="26" ht="66" customHeight="1">
      <x:c r="A26" s="25" t="str">
        <x:v>zed</x:v>
      </x:c>
      <x:c r="B26" s="25" t="str">
        <x:v>劫</x:v>
      </x:c>
      <x:c r="C26" s="25" t="str">
        <x:v>影流之主</x:v>
      </x:c>
      <x:c r="D26" s="31" t="str">
        <x:v>成年男性</x:v>
      </x:c>
      <x:c r="E26" s="31" t="str">
        <x:v>低</x:v>
      </x:c>
      <x:c r="F26" s="31" t="str">
        <x:v>偏慢</x:v>
      </x:c>
      <x:c r="G26" s="31" t="str">
        <x:v>压迫、坚硬、控制感强</x:v>
      </x:c>
      <x:c r="H26" s="31" t="str">
        <x:v>精准</x:v>
      </x:c>
      <x:c r="I26" s="31" t="str">
        <x:v>深</x:v>
      </x:c>
      <x:c r="J26" s="31" t="str">
        <x:v>冷静到决绝</x:v>
      </x:c>
      <x:c r="K26" s="31" t="str">
        <x:v>战斗命令短促，怒意不失控制</x:v>
      </x:c>
      <x:c r="L26" s="31" t="str">
        <x:v>避免普通反派咆哮腔</x:v>
      </x:c>
      <x:c r="M26" s="31" t="str">
        <x:v>以禁忌手段守国的强硬领袖；精准、压迫、强调结果与代价</x:v>
      </x:c>
      <x:c r="N26" s="31" t="str">
        <x:v>https://universe.leagueoflegends.com/en_US/champion/zed/</x:v>
      </x:c>
      <x:c r="O26" s="31" t="str">
        <x:v>待试音</x:v>
      </x:c>
      <x:c r="P26" s="31" t="str"/>
    </x:row>
  </x:sheetData>
  <x:mergeCells>
    <x:mergeCell ref="A1:H1"/>
    <x:mergeCell ref="A2:H2"/>
  </x:mergeCells>
  <x:dataValidations count="1">
    <x:dataValidation type="list" sqref="O5:O26">
      <x:formula1>"待试音,试音中,已定声线,需重定"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89332d96a2f4d3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11" hidden="0" customWidth="1"/>
    <x:col min="4" max="4" width="18" hidden="0" customWidth="1"/>
    <x:col min="5" max="5" width="16" hidden="0" customWidth="1"/>
    <x:col min="6" max="6" width="36" hidden="0" customWidth="1"/>
    <x:col min="7" max="7" width="14" hidden="0" customWidth="1"/>
    <x:col min="8" max="8" width="14" hidden="0" customWidth="1"/>
    <x:col min="9" max="9" width="14" hidden="0" customWidth="1"/>
    <x:col min="10" max="10" width="10" hidden="0" customWidth="1"/>
    <x:col min="11" max="11" width="62" hidden="0" customWidth="1"/>
    <x:col min="12" max="12" width="44" hidden="0" customWidth="1"/>
    <x:col min="13" max="13" width="12" hidden="0" customWidth="1"/>
    <x:col min="14" max="14" width="13" hidden="0" customWidth="1"/>
    <x:col min="15" max="15" width="13" hidden="0" customWidth="1"/>
    <x:col min="16" max="16" width="18" hidden="0" customWidth="1"/>
    <x:col min="17" max="17" width="12" hidden="0" customWidth="1"/>
    <x:col min="18" max="18" width="12" hidden="0" customWidth="1"/>
    <x:col min="19" max="19" width="17" hidden="0" customWidth="1"/>
    <x:col min="20" max="20" width="19" hidden="0" customWidth="1"/>
    <x:col min="21" max="21" width="13" hidden="0" customWidth="1"/>
    <x:col min="22" max="22" width="30" hidden="0" customWidth="1"/>
    <x:col min="23" max="23" width="14" hidden="0" customWidth="1"/>
    <x:col min="24" max="24" width="32" hidden="0" customWidth="1"/>
    <x:col min="25" max="25" width="42" hidden="0" customWidth="1"/>
  </x:cols>
  <x:sheetData>
    <x:row r="1" ht="32" customHeight="1">
      <x:c r="A1" s="3" t="str">
        <x:v>22位英雄游戏台词主表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</x:row>
    <x:row r="2" ht="34" customHeight="1">
      <x:c r="A2" s="7" t="str">
        <x:v>22位英雄 × 12类核心场景 = 264条原创游戏台词。台词直接面向玩家，触发字段可映射后端事件、关系值与命运权重。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</x:row>
    <x:row r="4" ht="48" customHeight="1">
      <x:c r="A4" s="12" t="str">
        <x:v>台词ID line_id</x:v>
      </x:c>
      <x:c r="B4" s="12" t="str">
        <x:v>英雄ID hero_id</x:v>
      </x:c>
      <x:c r="C4" s="12" t="str">
        <x:v>英雄名</x:v>
      </x:c>
      <x:c r="D4" s="12" t="str">
        <x:v>场景代码 scene_code</x:v>
      </x:c>
      <x:c r="E4" s="12" t="str">
        <x:v>场景名称</x:v>
      </x:c>
      <x:c r="F4" s="12" t="str">
        <x:v>触发条件</x:v>
      </x:c>
      <x:c r="G4" s="12" t="str">
        <x:v>对话对象</x:v>
      </x:c>
      <x:c r="H4" s="12" t="str">
        <x:v>主情绪</x:v>
      </x:c>
      <x:c r="I4" s="12" t="str">
        <x:v>次情绪</x:v>
      </x:c>
      <x:c r="J4" s="12" t="str">
        <x:v>强度1-5</x:v>
      </x:c>
      <x:c r="K4" s="12" t="str">
        <x:v>游戏内中文台词 text_cn</x:v>
      </x:c>
      <x:c r="L4" s="12" t="str">
        <x:v>语气与表演提示</x:v>
      </x:c>
      <x:c r="M4" s="12" t="str">
        <x:v>建议时长秒</x:v>
      </x:c>
      <x:c r="N4" s="12" t="str">
        <x:v>关系值下限</x:v>
      </x:c>
      <x:c r="O4" s="12" t="str">
        <x:v>章节限制</x:v>
      </x:c>
      <x:c r="P4" s="12" t="str">
        <x:v>地点限制</x:v>
      </x:c>
      <x:c r="Q4" s="12" t="str">
        <x:v>是否一次性</x:v>
      </x:c>
      <x:c r="R4" s="12" t="str">
        <x:v>触发权重</x:v>
      </x:c>
      <x:c r="S4" s="12" t="str">
        <x:v>关联人格键</x:v>
      </x:c>
      <x:c r="T4" s="12" t="str">
        <x:v>关联命运键</x:v>
      </x:c>
      <x:c r="U4" s="12" t="str">
        <x:v>冷却事件数</x:v>
      </x:c>
      <x:c r="V4" s="12" t="str">
        <x:v>音频文件名</x:v>
      </x:c>
      <x:c r="W4" s="12" t="str">
        <x:v>审核状态</x:v>
      </x:c>
      <x:c r="X4" s="12" t="str">
        <x:v>审核备注</x:v>
      </x:c>
      <x:c r="Y4" s="12" t="str">
        <x:v>官方资料URL</x:v>
      </x:c>
    </x:row>
    <x:row r="5" ht="68" customHeight="1">
      <x:c r="A5" s="23" t="str">
        <x:v>ION_AHRI_MEET</x:v>
      </x:c>
      <x:c r="B5" s="23" t="str">
        <x:v>ahri</x:v>
      </x:c>
      <x:c r="C5" s="23" t="str">
        <x:v>阿狸</x:v>
      </x:c>
      <x:c r="D5" s="23" t="str">
        <x:v>MEET</x:v>
      </x:c>
      <x:c r="E5" s="23" t="str">
        <x:v>初次相遇</x:v>
      </x:c>
      <x:c r="F5" s="23" t="str">
        <x:v>玩家第一次接近角色</x:v>
      </x:c>
      <x:c r="G5" s="23" t="str">
        <x:v>玩家</x:v>
      </x:c>
      <x:c r="H5" s="23" t="str">
        <x:v>审视</x:v>
      </x:c>
      <x:c r="I5" s="23" t="str">
        <x:v>中性</x:v>
      </x:c>
      <x:c r="J5" s="23" t="n">
        <x:v>2</x:v>
      </x:c>
      <x:c r="K5" s="29" t="str">
        <x:v>别紧张。你的记忆没有恶意，至少现在没有。</x:v>
      </x:c>
      <x:c r="L5" s="29" t="str">
        <x:v>保持温柔、含蓄、带感官意象；不得模仿任何现有配音演员的音色与口癖</x:v>
      </x:c>
      <x:c r="M5" s="29" t="n">
        <x:v>4</x:v>
      </x:c>
      <x:c r="N5" s="29" t="n">
        <x:v>0</x:v>
      </x:c>
      <x:c r="O5" s="29" t="str">
        <x:v>不限</x:v>
      </x:c>
      <x:c r="P5" s="29" t="str">
        <x:v>不限</x:v>
      </x:c>
      <x:c r="Q5" s="29" t="str">
        <x:v>是</x:v>
      </x:c>
      <x:c r="R5" s="29" t="n">
        <x:v>10</x:v>
      </x:c>
      <x:c r="S5" s="29" t="str">
        <x:v>destiny</x:v>
      </x:c>
      <x:c r="T5" s="29" t="str">
        <x:v>breaker</x:v>
      </x:c>
      <x:c r="U5" s="29" t="n">
        <x:v>0</x:v>
      </x:c>
      <x:c r="V5" s="35" t="str">
        <x:f>A5&amp;".wav"</x:f>
        <x:v>ION_AHRI_MEET.wav</x:v>
      </x:c>
      <x:c r="W5" s="35" t="str">
        <x:v>待审核</x:v>
      </x:c>
      <x:c r="X5" s="35" t="str"/>
      <x:c r="Y5" s="35" t="str">
        <x:v>https://universe.leagueoflegends.com/en_US/champion/ahri/</x:v>
      </x:c>
    </x:row>
    <x:row r="6" ht="68" customHeight="1">
      <x:c r="A6" s="24" t="str">
        <x:v>ION_AHRI_GREET</x:v>
      </x:c>
      <x:c r="B6" s="24" t="str">
        <x:v>ahri</x:v>
      </x:c>
      <x:c r="C6" s="24" t="str">
        <x:v>阿狸</x:v>
      </x:c>
      <x:c r="D6" s="24" t="str">
        <x:v>GREET</x:v>
      </x:c>
      <x:c r="E6" s="24" t="str">
        <x:v>友好问候</x:v>
      </x:c>
      <x:c r="F6" s="24" t="str">
        <x:v>关系值达到友好后进入对话</x:v>
      </x:c>
      <x:c r="G6" s="24" t="str">
        <x:v>玩家</x:v>
      </x:c>
      <x:c r="H6" s="24" t="str">
        <x:v>友善</x:v>
      </x:c>
      <x:c r="I6" s="24" t="str">
        <x:v>喜悦</x:v>
      </x:c>
      <x:c r="J6" s="24" t="n">
        <x:v>2</x:v>
      </x:c>
      <x:c r="K6" s="30" t="str">
        <x:v>你来了。今天的风，比昨天诚实一些。</x:v>
      </x:c>
      <x:c r="L6" s="30" t="str">
        <x:v>保持温柔、含蓄、带感官意象；不得模仿任何现有配音演员的音色与口癖</x:v>
      </x:c>
      <x:c r="M6" s="30" t="n">
        <x:v>3</x:v>
      </x:c>
      <x:c r="N6" s="30" t="n">
        <x:v>10</x:v>
      </x:c>
      <x:c r="O6" s="30" t="str">
        <x:v>不限</x:v>
      </x:c>
      <x:c r="P6" s="30" t="str">
        <x:v>不限</x:v>
      </x:c>
      <x:c r="Q6" s="30" t="str">
        <x:v>否</x:v>
      </x:c>
      <x:c r="R6" s="30" t="n">
        <x:v>10</x:v>
      </x:c>
      <x:c r="S6" s="30" t="str">
        <x:v>peace</x:v>
      </x:c>
      <x:c r="T6" s="30" t="str">
        <x:v>guardian</x:v>
      </x:c>
      <x:c r="U6" s="30" t="n">
        <x:v>3</x:v>
      </x:c>
      <x:c r="V6" s="36" t="str">
        <x:f>A6&amp;".wav"</x:f>
        <x:v>ION_AHRI_GREET.wav</x:v>
      </x:c>
      <x:c r="W6" s="36" t="str">
        <x:v>待审核</x:v>
      </x:c>
      <x:c r="X6" s="36" t="str"/>
      <x:c r="Y6" s="36" t="str">
        <x:v>https://universe.leagueoflegends.com/en_US/champion/ahri/</x:v>
      </x:c>
    </x:row>
    <x:row r="7" ht="68" customHeight="1">
      <x:c r="A7" s="24" t="str">
        <x:v>ION_AHRI_WARN</x:v>
      </x:c>
      <x:c r="B7" s="24" t="str">
        <x:v>ahri</x:v>
      </x:c>
      <x:c r="C7" s="24" t="str">
        <x:v>阿狸</x:v>
      </x:c>
      <x:c r="D7" s="24" t="str">
        <x:v>WARN</x:v>
      </x:c>
      <x:c r="E7" s="24" t="str">
        <x:v>危险警告</x:v>
      </x:c>
      <x:c r="F7" s="24" t="str">
        <x:v>区域威胁或伏击即将发生</x:v>
      </x:c>
      <x:c r="G7" s="24" t="str">
        <x:v>玩家</x:v>
      </x:c>
      <x:c r="H7" s="24" t="str">
        <x:v>紧张</x:v>
      </x:c>
      <x:c r="I7" s="24" t="str">
        <x:v>警觉</x:v>
      </x:c>
      <x:c r="J7" s="24" t="n">
        <x:v>3</x:v>
      </x:c>
      <x:c r="K7" s="30" t="str">
        <x:v>停下，前面的情绪不属于活人。</x:v>
      </x:c>
      <x:c r="L7" s="30" t="str">
        <x:v>保持温柔、含蓄、带感官意象；不得模仿任何现有配音演员的音色与口癖</x:v>
      </x:c>
      <x:c r="M7" s="30" t="n">
        <x:v>3</x:v>
      </x:c>
      <x:c r="N7" s="30" t="n">
        <x:v>0</x:v>
      </x:c>
      <x:c r="O7" s="30" t="str">
        <x:v>不限</x:v>
      </x:c>
      <x:c r="P7" s="30" t="str">
        <x:v>不限</x:v>
      </x:c>
      <x:c r="Q7" s="30" t="str">
        <x:v>否</x:v>
      </x:c>
      <x:c r="R7" s="30" t="n">
        <x:v>10</x:v>
      </x:c>
      <x:c r="S7" s="30" t="str">
        <x:v>destiny</x:v>
      </x:c>
      <x:c r="T7" s="30" t="str">
        <x:v>breaker</x:v>
      </x:c>
      <x:c r="U7" s="30" t="n">
        <x:v>3</x:v>
      </x:c>
      <x:c r="V7" s="36" t="str">
        <x:f>A7&amp;".wav"</x:f>
        <x:v>ION_AHRI_WARN.wav</x:v>
      </x:c>
      <x:c r="W7" s="36" t="str">
        <x:v>待审核</x:v>
      </x:c>
      <x:c r="X7" s="36" t="str"/>
      <x:c r="Y7" s="36" t="str">
        <x:v>https://universe.leagueoflegends.com/en_US/champion/ahri/</x:v>
      </x:c>
    </x:row>
    <x:row r="8" ht="68" customHeight="1">
      <x:c r="A8" s="24" t="str">
        <x:v>ION_AHRI_REFUSE</x:v>
      </x:c>
      <x:c r="B8" s="24" t="str">
        <x:v>ahri</x:v>
      </x:c>
      <x:c r="C8" s="24" t="str">
        <x:v>阿狸</x:v>
      </x:c>
      <x:c r="D8" s="24" t="str">
        <x:v>REFUSE</x:v>
      </x:c>
      <x:c r="E8" s="24" t="str">
        <x:v>拒绝请求</x:v>
      </x:c>
      <x:c r="F8" s="24" t="str">
        <x:v>玩家请求触碰角色底线</x:v>
      </x:c>
      <x:c r="G8" s="24" t="str">
        <x:v>玩家</x:v>
      </x:c>
      <x:c r="H8" s="24" t="str">
        <x:v>拒绝</x:v>
      </x:c>
      <x:c r="I8" s="24" t="str">
        <x:v>厌恶</x:v>
      </x:c>
      <x:c r="J8" s="24" t="n">
        <x:v>3</x:v>
      </x:c>
      <x:c r="K8" s="30" t="str">
        <x:v>不。我不会再用别人的记忆填补自己的空缺。</x:v>
      </x:c>
      <x:c r="L8" s="30" t="str">
        <x:v>保持温柔、含蓄、带感官意象；不得模仿任何现有配音演员的音色与口癖</x:v>
      </x:c>
      <x:c r="M8" s="30" t="n">
        <x:v>4</x:v>
      </x:c>
      <x:c r="N8" s="30" t="n">
        <x:v>-20</x:v>
      </x:c>
      <x:c r="O8" s="30" t="str">
        <x:v>不限</x:v>
      </x:c>
      <x:c r="P8" s="30" t="str">
        <x:v>不限</x:v>
      </x:c>
      <x:c r="Q8" s="30" t="str">
        <x:v>否</x:v>
      </x:c>
      <x:c r="R8" s="30" t="n">
        <x:v>10</x:v>
      </x:c>
      <x:c r="S8" s="30" t="str">
        <x:v>freedom</x:v>
      </x:c>
      <x:c r="T8" s="30" t="str">
        <x:v>wanderer</x:v>
      </x:c>
      <x:c r="U8" s="30" t="n">
        <x:v>3</x:v>
      </x:c>
      <x:c r="V8" s="36" t="str">
        <x:f>A8&amp;".wav"</x:f>
        <x:v>ION_AHRI_REFUSE.wav</x:v>
      </x:c>
      <x:c r="W8" s="36" t="str">
        <x:v>待审核</x:v>
      </x:c>
      <x:c r="X8" s="36" t="str"/>
      <x:c r="Y8" s="36" t="str">
        <x:v>https://universe.leagueoflegends.com/en_US/champion/ahri/</x:v>
      </x:c>
    </x:row>
    <x:row r="9" ht="68" customHeight="1">
      <x:c r="A9" s="24" t="str">
        <x:v>ION_AHRI_TRUST</x:v>
      </x:c>
      <x:c r="B9" s="24" t="str">
        <x:v>ahri</x:v>
      </x:c>
      <x:c r="C9" s="24" t="str">
        <x:v>阿狸</x:v>
      </x:c>
      <x:c r="D9" s="24" t="str">
        <x:v>TRUST</x:v>
      </x:c>
      <x:c r="E9" s="24" t="str">
        <x:v>建立信任</x:v>
      </x:c>
      <x:c r="F9" s="24" t="str">
        <x:v>玩家满足角色的信任条件</x:v>
      </x:c>
      <x:c r="G9" s="24" t="str">
        <x:v>玩家</x:v>
      </x:c>
      <x:c r="H9" s="24" t="str">
        <x:v>信任</x:v>
      </x:c>
      <x:c r="I9" s="24" t="str">
        <x:v>柔和</x:v>
      </x:c>
      <x:c r="J9" s="24" t="n">
        <x:v>3</x:v>
      </x:c>
      <x:c r="K9" s="30" t="str">
        <x:v>我愿意相信你一次——别让我把这份信任也埋掉。</x:v>
      </x:c>
      <x:c r="L9" s="30" t="str">
        <x:v>保持温柔、含蓄、带感官意象；不得模仿任何现有配音演员的音色与口癖</x:v>
      </x:c>
      <x:c r="M9" s="30" t="n">
        <x:v>5</x:v>
      </x:c>
      <x:c r="N9" s="30" t="n">
        <x:v>40</x:v>
      </x:c>
      <x:c r="O9" s="30" t="str">
        <x:v>不限</x:v>
      </x:c>
      <x:c r="P9" s="30" t="str">
        <x:v>不限</x:v>
      </x:c>
      <x:c r="Q9" s="30" t="str">
        <x:v>是</x:v>
      </x:c>
      <x:c r="R9" s="30" t="n">
        <x:v>10</x:v>
      </x:c>
      <x:c r="S9" s="30" t="str">
        <x:v>peace</x:v>
      </x:c>
      <x:c r="T9" s="30" t="str">
        <x:v>guardian</x:v>
      </x:c>
      <x:c r="U9" s="30" t="n">
        <x:v>0</x:v>
      </x:c>
      <x:c r="V9" s="36" t="str">
        <x:f>A9&amp;".wav"</x:f>
        <x:v>ION_AHRI_TRUST.wav</x:v>
      </x:c>
      <x:c r="W9" s="36" t="str">
        <x:v>待审核</x:v>
      </x:c>
      <x:c r="X9" s="36" t="str"/>
      <x:c r="Y9" s="36" t="str">
        <x:v>https://universe.leagueoflegends.com/en_US/champion/ahri/</x:v>
      </x:c>
    </x:row>
    <x:row r="10" ht="68" customHeight="1">
      <x:c r="A10" s="24" t="str">
        <x:v>ION_AHRI_ANGER</x:v>
      </x:c>
      <x:c r="B10" s="24" t="str">
        <x:v>ahri</x:v>
      </x:c>
      <x:c r="C10" s="24" t="str">
        <x:v>阿狸</x:v>
      </x:c>
      <x:c r="D10" s="24" t="str">
        <x:v>ANGER</x:v>
      </x:c>
      <x:c r="E10" s="24" t="str">
        <x:v>被激怒</x:v>
      </x:c>
      <x:c r="F10" s="24" t="str">
        <x:v>玩家触发角色主要怒点</x:v>
      </x:c>
      <x:c r="G10" s="24" t="str">
        <x:v>玩家</x:v>
      </x:c>
      <x:c r="H10" s="24" t="str">
        <x:v>愤怒</x:v>
      </x:c>
      <x:c r="I10" s="24" t="str">
        <x:v>受伤</x:v>
      </x:c>
      <x:c r="J10" s="24" t="n">
        <x:v>4</x:v>
      </x:c>
      <x:c r="K10" s="30" t="str">
        <x:v>把我当成怪物很容易，承担这个判断的后果却很难。</x:v>
      </x:c>
      <x:c r="L10" s="30" t="str">
        <x:v>保持温柔、含蓄、带感官意象；不得模仿任何现有配音演员的音色与口癖</x:v>
      </x:c>
      <x:c r="M10" s="30" t="n">
        <x:v>4</x:v>
      </x:c>
      <x:c r="N10" s="30" t="n">
        <x:v>-20</x:v>
      </x:c>
      <x:c r="O10" s="30" t="str">
        <x:v>不限</x:v>
      </x:c>
      <x:c r="P10" s="30" t="str">
        <x:v>不限</x:v>
      </x:c>
      <x:c r="Q10" s="30" t="str">
        <x:v>否</x:v>
      </x:c>
      <x:c r="R10" s="30" t="n">
        <x:v>10</x:v>
      </x:c>
      <x:c r="S10" s="30" t="str">
        <x:v>power</x:v>
      </x:c>
      <x:c r="T10" s="30" t="str">
        <x:v>strong</x:v>
      </x:c>
      <x:c r="U10" s="30" t="n">
        <x:v>3</x:v>
      </x:c>
      <x:c r="V10" s="36" t="str">
        <x:f>A10&amp;".wav"</x:f>
        <x:v>ION_AHRI_ANGER.wav</x:v>
      </x:c>
      <x:c r="W10" s="36" t="str">
        <x:v>待审核</x:v>
      </x:c>
      <x:c r="X10" s="36" t="str"/>
      <x:c r="Y10" s="36" t="str">
        <x:v>https://universe.leagueoflegends.com/en_US/champion/ahri/</x:v>
      </x:c>
    </x:row>
    <x:row r="11" ht="68" customHeight="1">
      <x:c r="A11" s="24" t="str">
        <x:v>ION_AHRI_HURT</x:v>
      </x:c>
      <x:c r="B11" s="24" t="str">
        <x:v>ahri</x:v>
      </x:c>
      <x:c r="C11" s="24" t="str">
        <x:v>阿狸</x:v>
      </x:c>
      <x:c r="D11" s="24" t="str">
        <x:v>HURT</x:v>
      </x:c>
      <x:c r="E11" s="24" t="str">
        <x:v>受伤反馈</x:v>
      </x:c>
      <x:c r="F11" s="24" t="str">
        <x:v>角色受到重击但仍可行动</x:v>
      </x:c>
      <x:c r="G11" s="24" t="str">
        <x:v>玩家</x:v>
      </x:c>
      <x:c r="H11" s="24" t="str">
        <x:v>痛苦</x:v>
      </x:c>
      <x:c r="I11" s="24" t="str">
        <x:v>坚持</x:v>
      </x:c>
      <x:c r="J11" s="24" t="n">
        <x:v>4</x:v>
      </x:c>
      <x:c r="K11" s="30" t="str">
        <x:v>没事，只是一段疼痛，不是一段记忆。</x:v>
      </x:c>
      <x:c r="L11" s="30" t="str">
        <x:v>保持温柔、含蓄、带感官意象；不得模仿任何现有配音演员的音色与口癖</x:v>
      </x:c>
      <x:c r="M11" s="30" t="n">
        <x:v>2</x:v>
      </x:c>
      <x:c r="N11" s="30" t="n">
        <x:v>0</x:v>
      </x:c>
      <x:c r="O11" s="30" t="str">
        <x:v>不限</x:v>
      </x:c>
      <x:c r="P11" s="30" t="str">
        <x:v>不限</x:v>
      </x:c>
      <x:c r="Q11" s="30" t="str">
        <x:v>否</x:v>
      </x:c>
      <x:c r="R11" s="30" t="n">
        <x:v>10</x:v>
      </x:c>
      <x:c r="S11" s="30" t="str">
        <x:v>peace</x:v>
      </x:c>
      <x:c r="T11" s="30" t="str">
        <x:v>guardian</x:v>
      </x:c>
      <x:c r="U11" s="30" t="n">
        <x:v>3</x:v>
      </x:c>
      <x:c r="V11" s="36" t="str">
        <x:f>A11&amp;".wav"</x:f>
        <x:v>ION_AHRI_HURT.wav</x:v>
      </x:c>
      <x:c r="W11" s="36" t="str">
        <x:v>待审核</x:v>
      </x:c>
      <x:c r="X11" s="36" t="str"/>
      <x:c r="Y11" s="36" t="str">
        <x:v>https://universe.leagueoflegends.com/en_US/champion/ahri/</x:v>
      </x:c>
    </x:row>
    <x:row r="12" ht="68" customHeight="1">
      <x:c r="A12" s="24" t="str">
        <x:v>ION_AHRI_COMBAT</x:v>
      </x:c>
      <x:c r="B12" s="24" t="str">
        <x:v>ahri</x:v>
      </x:c>
      <x:c r="C12" s="24" t="str">
        <x:v>阿狸</x:v>
      </x:c>
      <x:c r="D12" s="24" t="str">
        <x:v>COMBAT</x:v>
      </x:c>
      <x:c r="E12" s="24" t="str">
        <x:v>战斗行动</x:v>
      </x:c>
      <x:c r="F12" s="24" t="str">
        <x:v>角色发动标志性行动</x:v>
      </x:c>
      <x:c r="G12" s="24" t="str">
        <x:v>玩家</x:v>
      </x:c>
      <x:c r="H12" s="24" t="str">
        <x:v>战意</x:v>
      </x:c>
      <x:c r="I12" s="24" t="str">
        <x:v>专注</x:v>
      </x:c>
      <x:c r="J12" s="24" t="n">
        <x:v>4</x:v>
      </x:c>
      <x:c r="K12" s="30" t="str">
        <x:v>看着我的眼睛，然后忘记你原本要挥下的刀。</x:v>
      </x:c>
      <x:c r="L12" s="30" t="str">
        <x:v>保持温柔、含蓄、带感官意象；不得模仿任何现有配音演员的音色与口癖</x:v>
      </x:c>
      <x:c r="M12" s="30" t="n">
        <x:v>2</x:v>
      </x:c>
      <x:c r="N12" s="30" t="n">
        <x:v>0</x:v>
      </x:c>
      <x:c r="O12" s="30" t="str">
        <x:v>不限</x:v>
      </x:c>
      <x:c r="P12" s="30" t="str">
        <x:v>不限</x:v>
      </x:c>
      <x:c r="Q12" s="30" t="str">
        <x:v>否</x:v>
      </x:c>
      <x:c r="R12" s="30" t="n">
        <x:v>10</x:v>
      </x:c>
      <x:c r="S12" s="30" t="str">
        <x:v>power</x:v>
      </x:c>
      <x:c r="T12" s="30" t="str">
        <x:v>strong</x:v>
      </x:c>
      <x:c r="U12" s="30" t="n">
        <x:v>3</x:v>
      </x:c>
      <x:c r="V12" s="36" t="str">
        <x:f>A12&amp;".wav"</x:f>
        <x:v>ION_AHRI_COMBAT.wav</x:v>
      </x:c>
      <x:c r="W12" s="36" t="str">
        <x:v>待审核</x:v>
      </x:c>
      <x:c r="X12" s="36" t="str"/>
      <x:c r="Y12" s="36" t="str">
        <x:v>https://universe.leagueoflegends.com/en_US/champion/ahri/</x:v>
      </x:c>
    </x:row>
    <x:row r="13" ht="68" customHeight="1">
      <x:c r="A13" s="24" t="str">
        <x:v>ION_AHRI_VICTORY</x:v>
      </x:c>
      <x:c r="B13" s="24" t="str">
        <x:v>ahri</x:v>
      </x:c>
      <x:c r="C13" s="24" t="str">
        <x:v>阿狸</x:v>
      </x:c>
      <x:c r="D13" s="24" t="str">
        <x:v>VICTORY</x:v>
      </x:c>
      <x:c r="E13" s="24" t="str">
        <x:v>战斗胜利</x:v>
      </x:c>
      <x:c r="F13" s="24" t="str">
        <x:v>威胁解除并进入结算</x:v>
      </x:c>
      <x:c r="G13" s="24" t="str">
        <x:v>玩家</x:v>
      </x:c>
      <x:c r="H13" s="24" t="str">
        <x:v>释然</x:v>
      </x:c>
      <x:c r="I13" s="24" t="str">
        <x:v>克制喜悦</x:v>
      </x:c>
      <x:c r="J13" s="24" t="n">
        <x:v>3</x:v>
      </x:c>
      <x:c r="K13" s="30" t="str">
        <x:v>结束了。让这些散乱的情绪回到它们的主人那里。</x:v>
      </x:c>
      <x:c r="L13" s="30" t="str">
        <x:v>保持温柔、含蓄、带感官意象；不得模仿任何现有配音演员的音色与口癖</x:v>
      </x:c>
      <x:c r="M13" s="30" t="n">
        <x:v>4</x:v>
      </x:c>
      <x:c r="N13" s="30" t="n">
        <x:v>0</x:v>
      </x:c>
      <x:c r="O13" s="30" t="str">
        <x:v>不限</x:v>
      </x:c>
      <x:c r="P13" s="30" t="str">
        <x:v>不限</x:v>
      </x:c>
      <x:c r="Q13" s="30" t="str">
        <x:v>否</x:v>
      </x:c>
      <x:c r="R13" s="30" t="n">
        <x:v>10</x:v>
      </x:c>
      <x:c r="S13" s="30" t="str">
        <x:v>destiny</x:v>
      </x:c>
      <x:c r="T13" s="30" t="str">
        <x:v>breaker</x:v>
      </x:c>
      <x:c r="U13" s="30" t="n">
        <x:v>3</x:v>
      </x:c>
      <x:c r="V13" s="36" t="str">
        <x:f>A13&amp;".wav"</x:f>
        <x:v>ION_AHRI_VICTORY.wav</x:v>
      </x:c>
      <x:c r="W13" s="36" t="str">
        <x:v>待审核</x:v>
      </x:c>
      <x:c r="X13" s="36" t="str"/>
      <x:c r="Y13" s="36" t="str">
        <x:v>https://universe.leagueoflegends.com/en_US/champion/ahri/</x:v>
      </x:c>
    </x:row>
    <x:row r="14" ht="68" customHeight="1">
      <x:c r="A14" s="24" t="str">
        <x:v>ION_AHRI_DEFEAT</x:v>
      </x:c>
      <x:c r="B14" s="24" t="str">
        <x:v>ahri</x:v>
      </x:c>
      <x:c r="C14" s="24" t="str">
        <x:v>阿狸</x:v>
      </x:c>
      <x:c r="D14" s="24" t="str">
        <x:v>DEFEAT</x:v>
      </x:c>
      <x:c r="E14" s="24" t="str">
        <x:v>失败撤退</x:v>
      </x:c>
      <x:c r="F14" s="24" t="str">
        <x:v>角色被迫撤离或计划失败</x:v>
      </x:c>
      <x:c r="G14" s="24" t="str">
        <x:v>玩家</x:v>
      </x:c>
      <x:c r="H14" s="24" t="str">
        <x:v>挫败</x:v>
      </x:c>
      <x:c r="I14" s="24" t="str">
        <x:v>反思</x:v>
      </x:c>
      <x:c r="J14" s="24" t="n">
        <x:v>4</x:v>
      </x:c>
      <x:c r="K14" s="30" t="str">
        <x:v>我判断错了。离开这里，别让第二个人为此付账。</x:v>
      </x:c>
      <x:c r="L14" s="30" t="str">
        <x:v>保持温柔、含蓄、带感官意象；不得模仿任何现有配音演员的音色与口癖</x:v>
      </x:c>
      <x:c r="M14" s="30" t="n">
        <x:v>5</x:v>
      </x:c>
      <x:c r="N14" s="30" t="n">
        <x:v>0</x:v>
      </x:c>
      <x:c r="O14" s="30" t="str">
        <x:v>不限</x:v>
      </x:c>
      <x:c r="P14" s="30" t="str">
        <x:v>不限</x:v>
      </x:c>
      <x:c r="Q14" s="30" t="str">
        <x:v>否</x:v>
      </x:c>
      <x:c r="R14" s="30" t="n">
        <x:v>10</x:v>
      </x:c>
      <x:c r="S14" s="30" t="str">
        <x:v>spirit</x:v>
      </x:c>
      <x:c r="T14" s="30" t="str">
        <x:v>spirit_fate</x:v>
      </x:c>
      <x:c r="U14" s="30" t="n">
        <x:v>3</x:v>
      </x:c>
      <x:c r="V14" s="36" t="str">
        <x:f>A14&amp;".wav"</x:f>
        <x:v>ION_AHRI_DEFEAT.wav</x:v>
      </x:c>
      <x:c r="W14" s="36" t="str">
        <x:v>待审核</x:v>
      </x:c>
      <x:c r="X14" s="36" t="str"/>
      <x:c r="Y14" s="36" t="str">
        <x:v>https://universe.leagueoflegends.com/en_US/champion/ahri/</x:v>
      </x:c>
    </x:row>
    <x:row r="15" ht="68" customHeight="1">
      <x:c r="A15" s="24" t="str">
        <x:v>ION_AHRI_LORE</x:v>
      </x:c>
      <x:c r="B15" s="24" t="str">
        <x:v>ahri</x:v>
      </x:c>
      <x:c r="C15" s="24" t="str">
        <x:v>阿狸</x:v>
      </x:c>
      <x:c r="D15" s="24" t="str">
        <x:v>LORE</x:v>
      </x:c>
      <x:c r="E15" s="24" t="str">
        <x:v>世界观讲述</x:v>
      </x:c>
      <x:c r="F15" s="24" t="str">
        <x:v>玩家询问人物、地点或往事</x:v>
      </x:c>
      <x:c r="G15" s="24" t="str">
        <x:v>玩家</x:v>
      </x:c>
      <x:c r="H15" s="24" t="str">
        <x:v>叙述</x:v>
      </x:c>
      <x:c r="I15" s="24" t="str">
        <x:v>怀念</x:v>
      </x:c>
      <x:c r="J15" s="24" t="n">
        <x:v>2</x:v>
      </x:c>
      <x:c r="K15" s="30" t="str">
        <x:v>艾欧尼亚的土地会记住脚步，但记忆从来不等于真相。</x:v>
      </x:c>
      <x:c r="L15" s="30" t="str">
        <x:v>保持温柔、含蓄、带感官意象；不得模仿任何现有配音演员的音色与口癖</x:v>
      </x:c>
      <x:c r="M15" s="30" t="n">
        <x:v>8</x:v>
      </x:c>
      <x:c r="N15" s="30" t="n">
        <x:v>0</x:v>
      </x:c>
      <x:c r="O15" s="30" t="str">
        <x:v>不限</x:v>
      </x:c>
      <x:c r="P15" s="30" t="str">
        <x:v>不限</x:v>
      </x:c>
      <x:c r="Q15" s="30" t="str">
        <x:v>是</x:v>
      </x:c>
      <x:c r="R15" s="30" t="n">
        <x:v>10</x:v>
      </x:c>
      <x:c r="S15" s="30" t="str">
        <x:v>spirit</x:v>
      </x:c>
      <x:c r="T15" s="30" t="str">
        <x:v>spirit_fate</x:v>
      </x:c>
      <x:c r="U15" s="30" t="n">
        <x:v>0</x:v>
      </x:c>
      <x:c r="V15" s="36" t="str">
        <x:f>A15&amp;".wav"</x:f>
        <x:v>ION_AHRI_LORE.wav</x:v>
      </x:c>
      <x:c r="W15" s="36" t="str">
        <x:v>待审核</x:v>
      </x:c>
      <x:c r="X15" s="36" t="str"/>
      <x:c r="Y15" s="36" t="str">
        <x:v>https://universe.leagueoflegends.com/en_US/champion/ahri/</x:v>
      </x:c>
    </x:row>
    <x:row r="16" ht="68" customHeight="1">
      <x:c r="A16" s="24" t="str">
        <x:v>ION_AHRI_FAREWELL</x:v>
      </x:c>
      <x:c r="B16" s="24" t="str">
        <x:v>ahri</x:v>
      </x:c>
      <x:c r="C16" s="24" t="str">
        <x:v>阿狸</x:v>
      </x:c>
      <x:c r="D16" s="24" t="str">
        <x:v>FAREWELL</x:v>
      </x:c>
      <x:c r="E16" s="24" t="str">
        <x:v>阶段告别</x:v>
      </x:c>
      <x:c r="F16" s="24" t="str">
        <x:v>事件结束或角色离开队伍</x:v>
      </x:c>
      <x:c r="G16" s="24" t="str">
        <x:v>玩家</x:v>
      </x:c>
      <x:c r="H16" s="24" t="str">
        <x:v>告别</x:v>
      </x:c>
      <x:c r="I16" s="24" t="str">
        <x:v>复杂</x:v>
      </x:c>
      <x:c r="J16" s="24" t="n">
        <x:v>3</x:v>
      </x:c>
      <x:c r="K16" s="30" t="str">
        <x:v>继续走吧。等你愿意面对过去时，我们也许还会相遇。</x:v>
      </x:c>
      <x:c r="L16" s="30" t="str">
        <x:v>保持温柔、含蓄、带感官意象；不得模仿任何现有配音演员的音色与口癖</x:v>
      </x:c>
      <x:c r="M16" s="30" t="n">
        <x:v>5</x:v>
      </x:c>
      <x:c r="N16" s="30" t="n">
        <x:v>0</x:v>
      </x:c>
      <x:c r="O16" s="30" t="str">
        <x:v>不限</x:v>
      </x:c>
      <x:c r="P16" s="30" t="str">
        <x:v>不限</x:v>
      </x:c>
      <x:c r="Q16" s="30" t="str">
        <x:v>否</x:v>
      </x:c>
      <x:c r="R16" s="30" t="n">
        <x:v>10</x:v>
      </x:c>
      <x:c r="S16" s="30" t="str">
        <x:v>freedom</x:v>
      </x:c>
      <x:c r="T16" s="30" t="str">
        <x:v>wanderer</x:v>
      </x:c>
      <x:c r="U16" s="30" t="n">
        <x:v>3</x:v>
      </x:c>
      <x:c r="V16" s="36" t="str">
        <x:f>A16&amp;".wav"</x:f>
        <x:v>ION_AHRI_FAREWELL.wav</x:v>
      </x:c>
      <x:c r="W16" s="36" t="str">
        <x:v>待审核</x:v>
      </x:c>
      <x:c r="X16" s="36" t="str"/>
      <x:c r="Y16" s="36" t="str">
        <x:v>https://universe.leagueoflegends.com/en_US/champion/ahri/</x:v>
      </x:c>
    </x:row>
    <x:row r="17" ht="68" customHeight="1">
      <x:c r="A17" s="24" t="str">
        <x:v>ION_AKALI_MEET</x:v>
      </x:c>
      <x:c r="B17" s="24" t="str">
        <x:v>akali</x:v>
      </x:c>
      <x:c r="C17" s="24" t="str">
        <x:v>阿卡丽</x:v>
      </x:c>
      <x:c r="D17" s="24" t="str">
        <x:v>MEET</x:v>
      </x:c>
      <x:c r="E17" s="24" t="str">
        <x:v>初次相遇</x:v>
      </x:c>
      <x:c r="F17" s="24" t="str">
        <x:v>玩家第一次接近角色</x:v>
      </x:c>
      <x:c r="G17" s="24" t="str">
        <x:v>玩家</x:v>
      </x:c>
      <x:c r="H17" s="24" t="str">
        <x:v>审视</x:v>
      </x:c>
      <x:c r="I17" s="24" t="str">
        <x:v>中性</x:v>
      </x:c>
      <x:c r="J17" s="24" t="n">
        <x:v>2</x:v>
      </x:c>
      <x:c r="K17" s="30" t="str">
        <x:v>如果你是来讲规矩的，省点力气；如果是来做事的，跟上。</x:v>
      </x:c>
      <x:c r="L17" s="30" t="str">
        <x:v>保持短句、锋利、偶有年轻人的挑衅；避免刻意少年音和过度叛逆腔</x:v>
      </x:c>
      <x:c r="M17" s="30" t="n">
        <x:v>4</x:v>
      </x:c>
      <x:c r="N17" s="30" t="n">
        <x:v>0</x:v>
      </x:c>
      <x:c r="O17" s="30" t="str">
        <x:v>不限</x:v>
      </x:c>
      <x:c r="P17" s="30" t="str">
        <x:v>不限</x:v>
      </x:c>
      <x:c r="Q17" s="30" t="str">
        <x:v>是</x:v>
      </x:c>
      <x:c r="R17" s="30" t="n">
        <x:v>10</x:v>
      </x:c>
      <x:c r="S17" s="30" t="str">
        <x:v>destiny</x:v>
      </x:c>
      <x:c r="T17" s="30" t="str">
        <x:v>breaker</x:v>
      </x:c>
      <x:c r="U17" s="30" t="n">
        <x:v>0</x:v>
      </x:c>
      <x:c r="V17" s="36" t="str">
        <x:f>A17&amp;".wav"</x:f>
        <x:v>ION_AKALI_MEET.wav</x:v>
      </x:c>
      <x:c r="W17" s="36" t="str">
        <x:v>待审核</x:v>
      </x:c>
      <x:c r="X17" s="36" t="str"/>
      <x:c r="Y17" s="36" t="str">
        <x:v>https://universe.leagueoflegends.com/en_US/champion/akali/</x:v>
      </x:c>
    </x:row>
    <x:row r="18" ht="68" customHeight="1">
      <x:c r="A18" s="24" t="str">
        <x:v>ION_AKALI_GREET</x:v>
      </x:c>
      <x:c r="B18" s="24" t="str">
        <x:v>akali</x:v>
      </x:c>
      <x:c r="C18" s="24" t="str">
        <x:v>阿卡丽</x:v>
      </x:c>
      <x:c r="D18" s="24" t="str">
        <x:v>GREET</x:v>
      </x:c>
      <x:c r="E18" s="24" t="str">
        <x:v>友好问候</x:v>
      </x:c>
      <x:c r="F18" s="24" t="str">
        <x:v>关系值达到友好后进入对话</x:v>
      </x:c>
      <x:c r="G18" s="24" t="str">
        <x:v>玩家</x:v>
      </x:c>
      <x:c r="H18" s="24" t="str">
        <x:v>友善</x:v>
      </x:c>
      <x:c r="I18" s="24" t="str">
        <x:v>喜悦</x:v>
      </x:c>
      <x:c r="J18" s="24" t="n">
        <x:v>2</x:v>
      </x:c>
      <x:c r="K18" s="30" t="str">
        <x:v>还活着？不错，看来你没把我的提醒当耳旁风。</x:v>
      </x:c>
      <x:c r="L18" s="30" t="str">
        <x:v>保持短句、锋利、偶有年轻人的挑衅；避免刻意少年音和过度叛逆腔</x:v>
      </x:c>
      <x:c r="M18" s="30" t="n">
        <x:v>3</x:v>
      </x:c>
      <x:c r="N18" s="30" t="n">
        <x:v>10</x:v>
      </x:c>
      <x:c r="O18" s="30" t="str">
        <x:v>不限</x:v>
      </x:c>
      <x:c r="P18" s="30" t="str">
        <x:v>不限</x:v>
      </x:c>
      <x:c r="Q18" s="30" t="str">
        <x:v>否</x:v>
      </x:c>
      <x:c r="R18" s="30" t="n">
        <x:v>10</x:v>
      </x:c>
      <x:c r="S18" s="30" t="str">
        <x:v>peace</x:v>
      </x:c>
      <x:c r="T18" s="30" t="str">
        <x:v>guardian</x:v>
      </x:c>
      <x:c r="U18" s="30" t="n">
        <x:v>3</x:v>
      </x:c>
      <x:c r="V18" s="36" t="str">
        <x:f>A18&amp;".wav"</x:f>
        <x:v>ION_AKALI_GREET.wav</x:v>
      </x:c>
      <x:c r="W18" s="36" t="str">
        <x:v>待审核</x:v>
      </x:c>
      <x:c r="X18" s="36" t="str"/>
      <x:c r="Y18" s="36" t="str">
        <x:v>https://universe.leagueoflegends.com/en_US/champion/akali/</x:v>
      </x:c>
    </x:row>
    <x:row r="19" ht="68" customHeight="1">
      <x:c r="A19" s="24" t="str">
        <x:v>ION_AKALI_WARN</x:v>
      </x:c>
      <x:c r="B19" s="24" t="str">
        <x:v>akali</x:v>
      </x:c>
      <x:c r="C19" s="24" t="str">
        <x:v>阿卡丽</x:v>
      </x:c>
      <x:c r="D19" s="24" t="str">
        <x:v>WARN</x:v>
      </x:c>
      <x:c r="E19" s="24" t="str">
        <x:v>危险警告</x:v>
      </x:c>
      <x:c r="F19" s="24" t="str">
        <x:v>区域威胁或伏击即将发生</x:v>
      </x:c>
      <x:c r="G19" s="24" t="str">
        <x:v>玩家</x:v>
      </x:c>
      <x:c r="H19" s="24" t="str">
        <x:v>紧张</x:v>
      </x:c>
      <x:c r="I19" s="24" t="str">
        <x:v>警觉</x:v>
      </x:c>
      <x:c r="J19" s="24" t="n">
        <x:v>3</x:v>
      </x:c>
      <x:c r="K19" s="30" t="str">
        <x:v>屋顶上有三个人，巷口还有两个。别抬头。</x:v>
      </x:c>
      <x:c r="L19" s="30" t="str">
        <x:v>保持短句、锋利、偶有年轻人的挑衅；避免刻意少年音和过度叛逆腔</x:v>
      </x:c>
      <x:c r="M19" s="30" t="n">
        <x:v>3</x:v>
      </x:c>
      <x:c r="N19" s="30" t="n">
        <x:v>0</x:v>
      </x:c>
      <x:c r="O19" s="30" t="str">
        <x:v>不限</x:v>
      </x:c>
      <x:c r="P19" s="30" t="str">
        <x:v>不限</x:v>
      </x:c>
      <x:c r="Q19" s="30" t="str">
        <x:v>否</x:v>
      </x:c>
      <x:c r="R19" s="30" t="n">
        <x:v>10</x:v>
      </x:c>
      <x:c r="S19" s="30" t="str">
        <x:v>destiny</x:v>
      </x:c>
      <x:c r="T19" s="30" t="str">
        <x:v>breaker</x:v>
      </x:c>
      <x:c r="U19" s="30" t="n">
        <x:v>3</x:v>
      </x:c>
      <x:c r="V19" s="36" t="str">
        <x:f>A19&amp;".wav"</x:f>
        <x:v>ION_AKALI_WARN.wav</x:v>
      </x:c>
      <x:c r="W19" s="36" t="str">
        <x:v>待审核</x:v>
      </x:c>
      <x:c r="X19" s="36" t="str"/>
      <x:c r="Y19" s="36" t="str">
        <x:v>https://universe.leagueoflegends.com/en_US/champion/akali/</x:v>
      </x:c>
    </x:row>
    <x:row r="20" ht="68" customHeight="1">
      <x:c r="A20" s="24" t="str">
        <x:v>ION_AKALI_REFUSE</x:v>
      </x:c>
      <x:c r="B20" s="24" t="str">
        <x:v>akali</x:v>
      </x:c>
      <x:c r="C20" s="24" t="str">
        <x:v>阿卡丽</x:v>
      </x:c>
      <x:c r="D20" s="24" t="str">
        <x:v>REFUSE</x:v>
      </x:c>
      <x:c r="E20" s="24" t="str">
        <x:v>拒绝请求</x:v>
      </x:c>
      <x:c r="F20" s="24" t="str">
        <x:v>玩家请求触碰角色底线</x:v>
      </x:c>
      <x:c r="G20" s="24" t="str">
        <x:v>玩家</x:v>
      </x:c>
      <x:c r="H20" s="24" t="str">
        <x:v>拒绝</x:v>
      </x:c>
      <x:c r="I20" s="24" t="str">
        <x:v>厌恶</x:v>
      </x:c>
      <x:c r="J20" s="24" t="n">
        <x:v>3</x:v>
      </x:c>
      <x:c r="K20" s="30" t="str">
        <x:v>不接。你的理由听起来像命令，我早就不吃这一套了。</x:v>
      </x:c>
      <x:c r="L20" s="30" t="str">
        <x:v>保持短句、锋利、偶有年轻人的挑衅；避免刻意少年音和过度叛逆腔</x:v>
      </x:c>
      <x:c r="M20" s="30" t="n">
        <x:v>4</x:v>
      </x:c>
      <x:c r="N20" s="30" t="n">
        <x:v>-20</x:v>
      </x:c>
      <x:c r="O20" s="30" t="str">
        <x:v>不限</x:v>
      </x:c>
      <x:c r="P20" s="30" t="str">
        <x:v>不限</x:v>
      </x:c>
      <x:c r="Q20" s="30" t="str">
        <x:v>否</x:v>
      </x:c>
      <x:c r="R20" s="30" t="n">
        <x:v>10</x:v>
      </x:c>
      <x:c r="S20" s="30" t="str">
        <x:v>freedom</x:v>
      </x:c>
      <x:c r="T20" s="30" t="str">
        <x:v>wanderer</x:v>
      </x:c>
      <x:c r="U20" s="30" t="n">
        <x:v>3</x:v>
      </x:c>
      <x:c r="V20" s="36" t="str">
        <x:f>A20&amp;".wav"</x:f>
        <x:v>ION_AKALI_REFUSE.wav</x:v>
      </x:c>
      <x:c r="W20" s="36" t="str">
        <x:v>待审核</x:v>
      </x:c>
      <x:c r="X20" s="36" t="str"/>
      <x:c r="Y20" s="36" t="str">
        <x:v>https://universe.leagueoflegends.com/en_US/champion/akali/</x:v>
      </x:c>
    </x:row>
    <x:row r="21" ht="68" customHeight="1">
      <x:c r="A21" s="24" t="str">
        <x:v>ION_AKALI_TRUST</x:v>
      </x:c>
      <x:c r="B21" s="24" t="str">
        <x:v>akali</x:v>
      </x:c>
      <x:c r="C21" s="24" t="str">
        <x:v>阿卡丽</x:v>
      </x:c>
      <x:c r="D21" s="24" t="str">
        <x:v>TRUST</x:v>
      </x:c>
      <x:c r="E21" s="24" t="str">
        <x:v>建立信任</x:v>
      </x:c>
      <x:c r="F21" s="24" t="str">
        <x:v>玩家满足角色的信任条件</x:v>
      </x:c>
      <x:c r="G21" s="24" t="str">
        <x:v>玩家</x:v>
      </x:c>
      <x:c r="H21" s="24" t="str">
        <x:v>信任</x:v>
      </x:c>
      <x:c r="I21" s="24" t="str">
        <x:v>柔和</x:v>
      </x:c>
      <x:c r="J21" s="24" t="n">
        <x:v>3</x:v>
      </x:c>
      <x:c r="K21" s="30" t="str">
        <x:v>背后交给你了。这句话我不会说第二遍。</x:v>
      </x:c>
      <x:c r="L21" s="30" t="str">
        <x:v>保持短句、锋利、偶有年轻人的挑衅；避免刻意少年音和过度叛逆腔</x:v>
      </x:c>
      <x:c r="M21" s="30" t="n">
        <x:v>5</x:v>
      </x:c>
      <x:c r="N21" s="30" t="n">
        <x:v>40</x:v>
      </x:c>
      <x:c r="O21" s="30" t="str">
        <x:v>不限</x:v>
      </x:c>
      <x:c r="P21" s="30" t="str">
        <x:v>不限</x:v>
      </x:c>
      <x:c r="Q21" s="30" t="str">
        <x:v>是</x:v>
      </x:c>
      <x:c r="R21" s="30" t="n">
        <x:v>10</x:v>
      </x:c>
      <x:c r="S21" s="30" t="str">
        <x:v>peace</x:v>
      </x:c>
      <x:c r="T21" s="30" t="str">
        <x:v>guardian</x:v>
      </x:c>
      <x:c r="U21" s="30" t="n">
        <x:v>0</x:v>
      </x:c>
      <x:c r="V21" s="36" t="str">
        <x:f>A21&amp;".wav"</x:f>
        <x:v>ION_AKALI_TRUST.wav</x:v>
      </x:c>
      <x:c r="W21" s="36" t="str">
        <x:v>待审核</x:v>
      </x:c>
      <x:c r="X21" s="36" t="str"/>
      <x:c r="Y21" s="36" t="str">
        <x:v>https://universe.leagueoflegends.com/en_US/champion/akali/</x:v>
      </x:c>
    </x:row>
    <x:row r="22" ht="68" customHeight="1">
      <x:c r="A22" s="24" t="str">
        <x:v>ION_AKALI_ANGER</x:v>
      </x:c>
      <x:c r="B22" s="24" t="str">
        <x:v>akali</x:v>
      </x:c>
      <x:c r="C22" s="24" t="str">
        <x:v>阿卡丽</x:v>
      </x:c>
      <x:c r="D22" s="24" t="str">
        <x:v>ANGER</x:v>
      </x:c>
      <x:c r="E22" s="24" t="str">
        <x:v>被激怒</x:v>
      </x:c>
      <x:c r="F22" s="24" t="str">
        <x:v>玩家触发角色主要怒点</x:v>
      </x:c>
      <x:c r="G22" s="24" t="str">
        <x:v>玩家</x:v>
      </x:c>
      <x:c r="H22" s="24" t="str">
        <x:v>愤怒</x:v>
      </x:c>
      <x:c r="I22" s="24" t="str">
        <x:v>受伤</x:v>
      </x:c>
      <x:c r="J22" s="24" t="n">
        <x:v>4</x:v>
      </x:c>
      <x:c r="K22" s="30" t="str">
        <x:v>别拿教条替自己壮胆，你连后果都没想清楚。</x:v>
      </x:c>
      <x:c r="L22" s="30" t="str">
        <x:v>保持短句、锋利、偶有年轻人的挑衅；避免刻意少年音和过度叛逆腔</x:v>
      </x:c>
      <x:c r="M22" s="30" t="n">
        <x:v>4</x:v>
      </x:c>
      <x:c r="N22" s="30" t="n">
        <x:v>-20</x:v>
      </x:c>
      <x:c r="O22" s="30" t="str">
        <x:v>不限</x:v>
      </x:c>
      <x:c r="P22" s="30" t="str">
        <x:v>不限</x:v>
      </x:c>
      <x:c r="Q22" s="30" t="str">
        <x:v>否</x:v>
      </x:c>
      <x:c r="R22" s="30" t="n">
        <x:v>10</x:v>
      </x:c>
      <x:c r="S22" s="30" t="str">
        <x:v>power</x:v>
      </x:c>
      <x:c r="T22" s="30" t="str">
        <x:v>strong</x:v>
      </x:c>
      <x:c r="U22" s="30" t="n">
        <x:v>3</x:v>
      </x:c>
      <x:c r="V22" s="36" t="str">
        <x:f>A22&amp;".wav"</x:f>
        <x:v>ION_AKALI_ANGER.wav</x:v>
      </x:c>
      <x:c r="W22" s="36" t="str">
        <x:v>待审核</x:v>
      </x:c>
      <x:c r="X22" s="36" t="str"/>
      <x:c r="Y22" s="36" t="str">
        <x:v>https://universe.leagueoflegends.com/en_US/champion/akali/</x:v>
      </x:c>
    </x:row>
    <x:row r="23" ht="68" customHeight="1">
      <x:c r="A23" s="24" t="str">
        <x:v>ION_AKALI_HURT</x:v>
      </x:c>
      <x:c r="B23" s="24" t="str">
        <x:v>akali</x:v>
      </x:c>
      <x:c r="C23" s="24" t="str">
        <x:v>阿卡丽</x:v>
      </x:c>
      <x:c r="D23" s="24" t="str">
        <x:v>HURT</x:v>
      </x:c>
      <x:c r="E23" s="24" t="str">
        <x:v>受伤反馈</x:v>
      </x:c>
      <x:c r="F23" s="24" t="str">
        <x:v>角色受到重击但仍可行动</x:v>
      </x:c>
      <x:c r="G23" s="24" t="str">
        <x:v>玩家</x:v>
      </x:c>
      <x:c r="H23" s="24" t="str">
        <x:v>痛苦</x:v>
      </x:c>
      <x:c r="I23" s="24" t="str">
        <x:v>坚持</x:v>
      </x:c>
      <x:c r="J23" s="24" t="n">
        <x:v>4</x:v>
      </x:c>
      <x:c r="K23" s="30" t="str">
        <x:v>擦伤而已。真正麻烦的是让对手看见你在疼。</x:v>
      </x:c>
      <x:c r="L23" s="30" t="str">
        <x:v>保持短句、锋利、偶有年轻人的挑衅；避免刻意少年音和过度叛逆腔</x:v>
      </x:c>
      <x:c r="M23" s="30" t="n">
        <x:v>2</x:v>
      </x:c>
      <x:c r="N23" s="30" t="n">
        <x:v>0</x:v>
      </x:c>
      <x:c r="O23" s="30" t="str">
        <x:v>不限</x:v>
      </x:c>
      <x:c r="P23" s="30" t="str">
        <x:v>不限</x:v>
      </x:c>
      <x:c r="Q23" s="30" t="str">
        <x:v>否</x:v>
      </x:c>
      <x:c r="R23" s="30" t="n">
        <x:v>10</x:v>
      </x:c>
      <x:c r="S23" s="30" t="str">
        <x:v>peace</x:v>
      </x:c>
      <x:c r="T23" s="30" t="str">
        <x:v>guardian</x:v>
      </x:c>
      <x:c r="U23" s="30" t="n">
        <x:v>3</x:v>
      </x:c>
      <x:c r="V23" s="36" t="str">
        <x:f>A23&amp;".wav"</x:f>
        <x:v>ION_AKALI_HURT.wav</x:v>
      </x:c>
      <x:c r="W23" s="36" t="str">
        <x:v>待审核</x:v>
      </x:c>
      <x:c r="X23" s="36" t="str"/>
      <x:c r="Y23" s="36" t="str">
        <x:v>https://universe.leagueoflegends.com/en_US/champion/akali/</x:v>
      </x:c>
    </x:row>
    <x:row r="24" ht="68" customHeight="1">
      <x:c r="A24" s="24" t="str">
        <x:v>ION_AKALI_COMBAT</x:v>
      </x:c>
      <x:c r="B24" s="24" t="str">
        <x:v>akali</x:v>
      </x:c>
      <x:c r="C24" s="24" t="str">
        <x:v>阿卡丽</x:v>
      </x:c>
      <x:c r="D24" s="24" t="str">
        <x:v>COMBAT</x:v>
      </x:c>
      <x:c r="E24" s="24" t="str">
        <x:v>战斗行动</x:v>
      </x:c>
      <x:c r="F24" s="24" t="str">
        <x:v>角色发动标志性行动</x:v>
      </x:c>
      <x:c r="G24" s="24" t="str">
        <x:v>玩家</x:v>
      </x:c>
      <x:c r="H24" s="24" t="str">
        <x:v>战意</x:v>
      </x:c>
      <x:c r="I24" s="24" t="str">
        <x:v>专注</x:v>
      </x:c>
      <x:c r="J24" s="24" t="n">
        <x:v>4</x:v>
      </x:c>
      <x:c r="K24" s="30" t="str">
        <x:v>烟起之后数到三——不，算了，你只管别挡路。</x:v>
      </x:c>
      <x:c r="L24" s="30" t="str">
        <x:v>保持短句、锋利、偶有年轻人的挑衅；避免刻意少年音和过度叛逆腔</x:v>
      </x:c>
      <x:c r="M24" s="30" t="n">
        <x:v>2</x:v>
      </x:c>
      <x:c r="N24" s="30" t="n">
        <x:v>0</x:v>
      </x:c>
      <x:c r="O24" s="30" t="str">
        <x:v>不限</x:v>
      </x:c>
      <x:c r="P24" s="30" t="str">
        <x:v>不限</x:v>
      </x:c>
      <x:c r="Q24" s="30" t="str">
        <x:v>否</x:v>
      </x:c>
      <x:c r="R24" s="30" t="n">
        <x:v>10</x:v>
      </x:c>
      <x:c r="S24" s="30" t="str">
        <x:v>power</x:v>
      </x:c>
      <x:c r="T24" s="30" t="str">
        <x:v>strong</x:v>
      </x:c>
      <x:c r="U24" s="30" t="n">
        <x:v>3</x:v>
      </x:c>
      <x:c r="V24" s="36" t="str">
        <x:f>A24&amp;".wav"</x:f>
        <x:v>ION_AKALI_COMBAT.wav</x:v>
      </x:c>
      <x:c r="W24" s="36" t="str">
        <x:v>待审核</x:v>
      </x:c>
      <x:c r="X24" s="36" t="str"/>
      <x:c r="Y24" s="36" t="str">
        <x:v>https://universe.leagueoflegends.com/en_US/champion/akali/</x:v>
      </x:c>
    </x:row>
    <x:row r="25" ht="68" customHeight="1">
      <x:c r="A25" s="24" t="str">
        <x:v>ION_AKALI_VICTORY</x:v>
      </x:c>
      <x:c r="B25" s="24" t="str">
        <x:v>akali</x:v>
      </x:c>
      <x:c r="C25" s="24" t="str">
        <x:v>阿卡丽</x:v>
      </x:c>
      <x:c r="D25" s="24" t="str">
        <x:v>VICTORY</x:v>
      </x:c>
      <x:c r="E25" s="24" t="str">
        <x:v>战斗胜利</x:v>
      </x:c>
      <x:c r="F25" s="24" t="str">
        <x:v>威胁解除并进入结算</x:v>
      </x:c>
      <x:c r="G25" s="24" t="str">
        <x:v>玩家</x:v>
      </x:c>
      <x:c r="H25" s="24" t="str">
        <x:v>释然</x:v>
      </x:c>
      <x:c r="I25" s="24" t="str">
        <x:v>克制喜悦</x:v>
      </x:c>
      <x:c r="J25" s="24" t="n">
        <x:v>3</x:v>
      </x:c>
      <x:c r="K25" s="30" t="str">
        <x:v>他们倒下了。现在去确认还有没有无辜的人被困住。</x:v>
      </x:c>
      <x:c r="L25" s="30" t="str">
        <x:v>保持短句、锋利、偶有年轻人的挑衅；避免刻意少年音和过度叛逆腔</x:v>
      </x:c>
      <x:c r="M25" s="30" t="n">
        <x:v>4</x:v>
      </x:c>
      <x:c r="N25" s="30" t="n">
        <x:v>0</x:v>
      </x:c>
      <x:c r="O25" s="30" t="str">
        <x:v>不限</x:v>
      </x:c>
      <x:c r="P25" s="30" t="str">
        <x:v>不限</x:v>
      </x:c>
      <x:c r="Q25" s="30" t="str">
        <x:v>否</x:v>
      </x:c>
      <x:c r="R25" s="30" t="n">
        <x:v>10</x:v>
      </x:c>
      <x:c r="S25" s="30" t="str">
        <x:v>destiny</x:v>
      </x:c>
      <x:c r="T25" s="30" t="str">
        <x:v>breaker</x:v>
      </x:c>
      <x:c r="U25" s="30" t="n">
        <x:v>3</x:v>
      </x:c>
      <x:c r="V25" s="36" t="str">
        <x:f>A25&amp;".wav"</x:f>
        <x:v>ION_AKALI_VICTORY.wav</x:v>
      </x:c>
      <x:c r="W25" s="36" t="str">
        <x:v>待审核</x:v>
      </x:c>
      <x:c r="X25" s="36" t="str"/>
      <x:c r="Y25" s="36" t="str">
        <x:v>https://universe.leagueoflegends.com/en_US/champion/akali/</x:v>
      </x:c>
    </x:row>
    <x:row r="26" ht="68" customHeight="1">
      <x:c r="A26" s="24" t="str">
        <x:v>ION_AKALI_DEFEAT</x:v>
      </x:c>
      <x:c r="B26" s="24" t="str">
        <x:v>akali</x:v>
      </x:c>
      <x:c r="C26" s="24" t="str">
        <x:v>阿卡丽</x:v>
      </x:c>
      <x:c r="D26" s="24" t="str">
        <x:v>DEFEAT</x:v>
      </x:c>
      <x:c r="E26" s="24" t="str">
        <x:v>失败撤退</x:v>
      </x:c>
      <x:c r="F26" s="24" t="str">
        <x:v>角色被迫撤离或计划失败</x:v>
      </x:c>
      <x:c r="G26" s="24" t="str">
        <x:v>玩家</x:v>
      </x:c>
      <x:c r="H26" s="24" t="str">
        <x:v>挫败</x:v>
      </x:c>
      <x:c r="I26" s="24" t="str">
        <x:v>反思</x:v>
      </x:c>
      <x:c r="J26" s="24" t="n">
        <x:v>4</x:v>
      </x:c>
      <x:c r="K26" s="30" t="str">
        <x:v>撤。活下来不是丢脸，重复同一个错误才是。</x:v>
      </x:c>
      <x:c r="L26" s="30" t="str">
        <x:v>保持短句、锋利、偶有年轻人的挑衅；避免刻意少年音和过度叛逆腔</x:v>
      </x:c>
      <x:c r="M26" s="30" t="n">
        <x:v>5</x:v>
      </x:c>
      <x:c r="N26" s="30" t="n">
        <x:v>0</x:v>
      </x:c>
      <x:c r="O26" s="30" t="str">
        <x:v>不限</x:v>
      </x:c>
      <x:c r="P26" s="30" t="str">
        <x:v>不限</x:v>
      </x:c>
      <x:c r="Q26" s="30" t="str">
        <x:v>否</x:v>
      </x:c>
      <x:c r="R26" s="30" t="n">
        <x:v>10</x:v>
      </x:c>
      <x:c r="S26" s="30" t="str">
        <x:v>spirit</x:v>
      </x:c>
      <x:c r="T26" s="30" t="str">
        <x:v>spirit_fate</x:v>
      </x:c>
      <x:c r="U26" s="30" t="n">
        <x:v>3</x:v>
      </x:c>
      <x:c r="V26" s="36" t="str">
        <x:f>A26&amp;".wav"</x:f>
        <x:v>ION_AKALI_DEFEAT.wav</x:v>
      </x:c>
      <x:c r="W26" s="36" t="str">
        <x:v>待审核</x:v>
      </x:c>
      <x:c r="X26" s="36" t="str"/>
      <x:c r="Y26" s="36" t="str">
        <x:v>https://universe.leagueoflegends.com/en_US/champion/akali/</x:v>
      </x:c>
    </x:row>
    <x:row r="27" ht="68" customHeight="1">
      <x:c r="A27" s="24" t="str">
        <x:v>ION_AKALI_LORE</x:v>
      </x:c>
      <x:c r="B27" s="24" t="str">
        <x:v>akali</x:v>
      </x:c>
      <x:c r="C27" s="24" t="str">
        <x:v>阿卡丽</x:v>
      </x:c>
      <x:c r="D27" s="24" t="str">
        <x:v>LORE</x:v>
      </x:c>
      <x:c r="E27" s="24" t="str">
        <x:v>世界观讲述</x:v>
      </x:c>
      <x:c r="F27" s="24" t="str">
        <x:v>玩家询问人物、地点或往事</x:v>
      </x:c>
      <x:c r="G27" s="24" t="str">
        <x:v>玩家</x:v>
      </x:c>
      <x:c r="H27" s="24" t="str">
        <x:v>叙述</x:v>
      </x:c>
      <x:c r="I27" s="24" t="str">
        <x:v>怀念</x:v>
      </x:c>
      <x:c r="J27" s="24" t="n">
        <x:v>2</x:v>
      </x:c>
      <x:c r="K27" s="30" t="str">
        <x:v>均衡教我看见两边，可有时候，两边都不肯救眼前的人。</x:v>
      </x:c>
      <x:c r="L27" s="30" t="str">
        <x:v>保持短句、锋利、偶有年轻人的挑衅；避免刻意少年音和过度叛逆腔</x:v>
      </x:c>
      <x:c r="M27" s="30" t="n">
        <x:v>8</x:v>
      </x:c>
      <x:c r="N27" s="30" t="n">
        <x:v>0</x:v>
      </x:c>
      <x:c r="O27" s="30" t="str">
        <x:v>不限</x:v>
      </x:c>
      <x:c r="P27" s="30" t="str">
        <x:v>不限</x:v>
      </x:c>
      <x:c r="Q27" s="30" t="str">
        <x:v>是</x:v>
      </x:c>
      <x:c r="R27" s="30" t="n">
        <x:v>10</x:v>
      </x:c>
      <x:c r="S27" s="30" t="str">
        <x:v>spirit</x:v>
      </x:c>
      <x:c r="T27" s="30" t="str">
        <x:v>spirit_fate</x:v>
      </x:c>
      <x:c r="U27" s="30" t="n">
        <x:v>0</x:v>
      </x:c>
      <x:c r="V27" s="36" t="str">
        <x:f>A27&amp;".wav"</x:f>
        <x:v>ION_AKALI_LORE.wav</x:v>
      </x:c>
      <x:c r="W27" s="36" t="str">
        <x:v>待审核</x:v>
      </x:c>
      <x:c r="X27" s="36" t="str"/>
      <x:c r="Y27" s="36" t="str">
        <x:v>https://universe.leagueoflegends.com/en_US/champion/akali/</x:v>
      </x:c>
    </x:row>
    <x:row r="28" ht="68" customHeight="1">
      <x:c r="A28" s="24" t="str">
        <x:v>ION_AKALI_FAREWELL</x:v>
      </x:c>
      <x:c r="B28" s="24" t="str">
        <x:v>akali</x:v>
      </x:c>
      <x:c r="C28" s="24" t="str">
        <x:v>阿卡丽</x:v>
      </x:c>
      <x:c r="D28" s="24" t="str">
        <x:v>FAREWELL</x:v>
      </x:c>
      <x:c r="E28" s="24" t="str">
        <x:v>阶段告别</x:v>
      </x:c>
      <x:c r="F28" s="24" t="str">
        <x:v>事件结束或角色离开队伍</x:v>
      </x:c>
      <x:c r="G28" s="24" t="str">
        <x:v>玩家</x:v>
      </x:c>
      <x:c r="H28" s="24" t="str">
        <x:v>告别</x:v>
      </x:c>
      <x:c r="I28" s="24" t="str">
        <x:v>复杂</x:v>
      </x:c>
      <x:c r="J28" s="24" t="n">
        <x:v>3</x:v>
      </x:c>
      <x:c r="K28" s="30" t="str">
        <x:v>我先走。要是还能跟上，就说明我们顺路。</x:v>
      </x:c>
      <x:c r="L28" s="30" t="str">
        <x:v>保持短句、锋利、偶有年轻人的挑衅；避免刻意少年音和过度叛逆腔</x:v>
      </x:c>
      <x:c r="M28" s="30" t="n">
        <x:v>5</x:v>
      </x:c>
      <x:c r="N28" s="30" t="n">
        <x:v>0</x:v>
      </x:c>
      <x:c r="O28" s="30" t="str">
        <x:v>不限</x:v>
      </x:c>
      <x:c r="P28" s="30" t="str">
        <x:v>不限</x:v>
      </x:c>
      <x:c r="Q28" s="30" t="str">
        <x:v>否</x:v>
      </x:c>
      <x:c r="R28" s="30" t="n">
        <x:v>10</x:v>
      </x:c>
      <x:c r="S28" s="30" t="str">
        <x:v>freedom</x:v>
      </x:c>
      <x:c r="T28" s="30" t="str">
        <x:v>wanderer</x:v>
      </x:c>
      <x:c r="U28" s="30" t="n">
        <x:v>3</x:v>
      </x:c>
      <x:c r="V28" s="36" t="str">
        <x:f>A28&amp;".wav"</x:f>
        <x:v>ION_AKALI_FAREWELL.wav</x:v>
      </x:c>
      <x:c r="W28" s="36" t="str">
        <x:v>待审核</x:v>
      </x:c>
      <x:c r="X28" s="36" t="str"/>
      <x:c r="Y28" s="36" t="str">
        <x:v>https://universe.leagueoflegends.com/en_US/champion/akali/</x:v>
      </x:c>
    </x:row>
    <x:row r="29" ht="68" customHeight="1">
      <x:c r="A29" s="24" t="str">
        <x:v>ION_HWEI_MEET</x:v>
      </x:c>
      <x:c r="B29" s="24" t="str">
        <x:v>hwei</x:v>
      </x:c>
      <x:c r="C29" s="24" t="str">
        <x:v>惠</x:v>
      </x:c>
      <x:c r="D29" s="24" t="str">
        <x:v>MEET</x:v>
      </x:c>
      <x:c r="E29" s="24" t="str">
        <x:v>初次相遇</x:v>
      </x:c>
      <x:c r="F29" s="24" t="str">
        <x:v>玩家第一次接近角色</x:v>
      </x:c>
      <x:c r="G29" s="24" t="str">
        <x:v>玩家</x:v>
      </x:c>
      <x:c r="H29" s="24" t="str">
        <x:v>审视</x:v>
      </x:c>
      <x:c r="I29" s="24" t="str">
        <x:v>中性</x:v>
      </x:c>
      <x:c r="J29" s="24" t="n">
        <x:v>2</x:v>
      </x:c>
      <x:c r="K29" s="30" t="str">
        <x:v>你站在光里，却带着一层没有画完的阴影。很有意思。</x:v>
      </x:c>
      <x:c r="L29" s="30" t="str">
        <x:v>保持细腻、画面化、层层递进；避免持续阴郁耳语</x:v>
      </x:c>
      <x:c r="M29" s="30" t="n">
        <x:v>4</x:v>
      </x:c>
      <x:c r="N29" s="30" t="n">
        <x:v>0</x:v>
      </x:c>
      <x:c r="O29" s="30" t="str">
        <x:v>不限</x:v>
      </x:c>
      <x:c r="P29" s="30" t="str">
        <x:v>不限</x:v>
      </x:c>
      <x:c r="Q29" s="30" t="str">
        <x:v>是</x:v>
      </x:c>
      <x:c r="R29" s="30" t="n">
        <x:v>10</x:v>
      </x:c>
      <x:c r="S29" s="30" t="str">
        <x:v>destiny</x:v>
      </x:c>
      <x:c r="T29" s="30" t="str">
        <x:v>breaker</x:v>
      </x:c>
      <x:c r="U29" s="30" t="n">
        <x:v>0</x:v>
      </x:c>
      <x:c r="V29" s="36" t="str">
        <x:f>A29&amp;".wav"</x:f>
        <x:v>ION_HWEI_MEET.wav</x:v>
      </x:c>
      <x:c r="W29" s="36" t="str">
        <x:v>待审核</x:v>
      </x:c>
      <x:c r="X29" s="36" t="str"/>
      <x:c r="Y29" s="36" t="str">
        <x:v>https://universe.leagueoflegends.com/en_US/story/champion/hwei</x:v>
      </x:c>
    </x:row>
    <x:row r="30" ht="68" customHeight="1">
      <x:c r="A30" s="24" t="str">
        <x:v>ION_HWEI_GREET</x:v>
      </x:c>
      <x:c r="B30" s="24" t="str">
        <x:v>hwei</x:v>
      </x:c>
      <x:c r="C30" s="24" t="str">
        <x:v>惠</x:v>
      </x:c>
      <x:c r="D30" s="24" t="str">
        <x:v>GREET</x:v>
      </x:c>
      <x:c r="E30" s="24" t="str">
        <x:v>友好问候</x:v>
      </x:c>
      <x:c r="F30" s="24" t="str">
        <x:v>关系值达到友好后进入对话</x:v>
      </x:c>
      <x:c r="G30" s="24" t="str">
        <x:v>玩家</x:v>
      </x:c>
      <x:c r="H30" s="24" t="str">
        <x:v>友善</x:v>
      </x:c>
      <x:c r="I30" s="24" t="str">
        <x:v>喜悦</x:v>
      </x:c>
      <x:c r="J30" s="24" t="n">
        <x:v>2</x:v>
      </x:c>
      <x:c r="K30" s="30" t="str">
        <x:v>今天的颜色安静些。也许因为你没有急着追问。</x:v>
      </x:c>
      <x:c r="L30" s="30" t="str">
        <x:v>保持细腻、画面化、层层递进；避免持续阴郁耳语</x:v>
      </x:c>
      <x:c r="M30" s="30" t="n">
        <x:v>3</x:v>
      </x:c>
      <x:c r="N30" s="30" t="n">
        <x:v>10</x:v>
      </x:c>
      <x:c r="O30" s="30" t="str">
        <x:v>不限</x:v>
      </x:c>
      <x:c r="P30" s="30" t="str">
        <x:v>不限</x:v>
      </x:c>
      <x:c r="Q30" s="30" t="str">
        <x:v>否</x:v>
      </x:c>
      <x:c r="R30" s="30" t="n">
        <x:v>10</x:v>
      </x:c>
      <x:c r="S30" s="30" t="str">
        <x:v>peace</x:v>
      </x:c>
      <x:c r="T30" s="30" t="str">
        <x:v>guardian</x:v>
      </x:c>
      <x:c r="U30" s="30" t="n">
        <x:v>3</x:v>
      </x:c>
      <x:c r="V30" s="36" t="str">
        <x:f>A30&amp;".wav"</x:f>
        <x:v>ION_HWEI_GREET.wav</x:v>
      </x:c>
      <x:c r="W30" s="36" t="str">
        <x:v>待审核</x:v>
      </x:c>
      <x:c r="X30" s="36" t="str"/>
      <x:c r="Y30" s="36" t="str">
        <x:v>https://universe.leagueoflegends.com/en_US/story/champion/hwei</x:v>
      </x:c>
    </x:row>
    <x:row r="31" ht="68" customHeight="1">
      <x:c r="A31" s="24" t="str">
        <x:v>ION_HWEI_WARN</x:v>
      </x:c>
      <x:c r="B31" s="24" t="str">
        <x:v>hwei</x:v>
      </x:c>
      <x:c r="C31" s="24" t="str">
        <x:v>惠</x:v>
      </x:c>
      <x:c r="D31" s="24" t="str">
        <x:v>WARN</x:v>
      </x:c>
      <x:c r="E31" s="24" t="str">
        <x:v>危险警告</x:v>
      </x:c>
      <x:c r="F31" s="24" t="str">
        <x:v>区域威胁或伏击即将发生</x:v>
      </x:c>
      <x:c r="G31" s="24" t="str">
        <x:v>玩家</x:v>
      </x:c>
      <x:c r="H31" s="24" t="str">
        <x:v>紧张</x:v>
      </x:c>
      <x:c r="I31" s="24" t="str">
        <x:v>警觉</x:v>
      </x:c>
      <x:c r="J31" s="24" t="n">
        <x:v>3</x:v>
      </x:c>
      <x:c r="K31" s="30" t="str">
        <x:v>别碰那面墙，恐惧已经在颜料下面醒了。</x:v>
      </x:c>
      <x:c r="L31" s="30" t="str">
        <x:v>保持细腻、画面化、层层递进；避免持续阴郁耳语</x:v>
      </x:c>
      <x:c r="M31" s="30" t="n">
        <x:v>3</x:v>
      </x:c>
      <x:c r="N31" s="30" t="n">
        <x:v>0</x:v>
      </x:c>
      <x:c r="O31" s="30" t="str">
        <x:v>不限</x:v>
      </x:c>
      <x:c r="P31" s="30" t="str">
        <x:v>不限</x:v>
      </x:c>
      <x:c r="Q31" s="30" t="str">
        <x:v>否</x:v>
      </x:c>
      <x:c r="R31" s="30" t="n">
        <x:v>10</x:v>
      </x:c>
      <x:c r="S31" s="30" t="str">
        <x:v>destiny</x:v>
      </x:c>
      <x:c r="T31" s="30" t="str">
        <x:v>breaker</x:v>
      </x:c>
      <x:c r="U31" s="30" t="n">
        <x:v>3</x:v>
      </x:c>
      <x:c r="V31" s="36" t="str">
        <x:f>A31&amp;".wav"</x:f>
        <x:v>ION_HWEI_WARN.wav</x:v>
      </x:c>
      <x:c r="W31" s="36" t="str">
        <x:v>待审核</x:v>
      </x:c>
      <x:c r="X31" s="36" t="str"/>
      <x:c r="Y31" s="36" t="str">
        <x:v>https://universe.leagueoflegends.com/en_US/story/champion/hwei</x:v>
      </x:c>
    </x:row>
    <x:row r="32" ht="68" customHeight="1">
      <x:c r="A32" s="24" t="str">
        <x:v>ION_HWEI_REFUSE</x:v>
      </x:c>
      <x:c r="B32" s="24" t="str">
        <x:v>hwei</x:v>
      </x:c>
      <x:c r="C32" s="24" t="str">
        <x:v>惠</x:v>
      </x:c>
      <x:c r="D32" s="24" t="str">
        <x:v>REFUSE</x:v>
      </x:c>
      <x:c r="E32" s="24" t="str">
        <x:v>拒绝请求</x:v>
      </x:c>
      <x:c r="F32" s="24" t="str">
        <x:v>玩家请求触碰角色底线</x:v>
      </x:c>
      <x:c r="G32" s="24" t="str">
        <x:v>玩家</x:v>
      </x:c>
      <x:c r="H32" s="24" t="str">
        <x:v>拒绝</x:v>
      </x:c>
      <x:c r="I32" s="24" t="str">
        <x:v>厌恶</x:v>
      </x:c>
      <x:c r="J32" s="24" t="n">
        <x:v>3</x:v>
      </x:c>
      <x:c r="K32" s="30" t="str">
        <x:v>我不会替你把痛苦画得漂亮，那不是治愈，只是装裱。</x:v>
      </x:c>
      <x:c r="L32" s="30" t="str">
        <x:v>保持细腻、画面化、层层递进；避免持续阴郁耳语</x:v>
      </x:c>
      <x:c r="M32" s="30" t="n">
        <x:v>4</x:v>
      </x:c>
      <x:c r="N32" s="30" t="n">
        <x:v>-20</x:v>
      </x:c>
      <x:c r="O32" s="30" t="str">
        <x:v>不限</x:v>
      </x:c>
      <x:c r="P32" s="30" t="str">
        <x:v>不限</x:v>
      </x:c>
      <x:c r="Q32" s="30" t="str">
        <x:v>否</x:v>
      </x:c>
      <x:c r="R32" s="30" t="n">
        <x:v>10</x:v>
      </x:c>
      <x:c r="S32" s="30" t="str">
        <x:v>freedom</x:v>
      </x:c>
      <x:c r="T32" s="30" t="str">
        <x:v>wanderer</x:v>
      </x:c>
      <x:c r="U32" s="30" t="n">
        <x:v>3</x:v>
      </x:c>
      <x:c r="V32" s="36" t="str">
        <x:f>A32&amp;".wav"</x:f>
        <x:v>ION_HWEI_REFUSE.wav</x:v>
      </x:c>
      <x:c r="W32" s="36" t="str">
        <x:v>待审核</x:v>
      </x:c>
      <x:c r="X32" s="36" t="str"/>
      <x:c r="Y32" s="36" t="str">
        <x:v>https://universe.leagueoflegends.com/en_US/story/champion/hwei</x:v>
      </x:c>
    </x:row>
    <x:row r="33" ht="68" customHeight="1">
      <x:c r="A33" s="24" t="str">
        <x:v>ION_HWEI_TRUST</x:v>
      </x:c>
      <x:c r="B33" s="24" t="str">
        <x:v>hwei</x:v>
      </x:c>
      <x:c r="C33" s="24" t="str">
        <x:v>惠</x:v>
      </x:c>
      <x:c r="D33" s="24" t="str">
        <x:v>TRUST</x:v>
      </x:c>
      <x:c r="E33" s="24" t="str">
        <x:v>建立信任</x:v>
      </x:c>
      <x:c r="F33" s="24" t="str">
        <x:v>玩家满足角色的信任条件</x:v>
      </x:c>
      <x:c r="G33" s="24" t="str">
        <x:v>玩家</x:v>
      </x:c>
      <x:c r="H33" s="24" t="str">
        <x:v>信任</x:v>
      </x:c>
      <x:c r="I33" s="24" t="str">
        <x:v>柔和</x:v>
      </x:c>
      <x:c r="J33" s="24" t="n">
        <x:v>3</x:v>
      </x:c>
      <x:c r="K33" s="30" t="str">
        <x:v>你没有催我完成这幅画……所以，我愿意让你看见下一层。</x:v>
      </x:c>
      <x:c r="L33" s="30" t="str">
        <x:v>保持细腻、画面化、层层递进；避免持续阴郁耳语</x:v>
      </x:c>
      <x:c r="M33" s="30" t="n">
        <x:v>5</x:v>
      </x:c>
      <x:c r="N33" s="30" t="n">
        <x:v>40</x:v>
      </x:c>
      <x:c r="O33" s="30" t="str">
        <x:v>不限</x:v>
      </x:c>
      <x:c r="P33" s="30" t="str">
        <x:v>不限</x:v>
      </x:c>
      <x:c r="Q33" s="30" t="str">
        <x:v>是</x:v>
      </x:c>
      <x:c r="R33" s="30" t="n">
        <x:v>10</x:v>
      </x:c>
      <x:c r="S33" s="30" t="str">
        <x:v>peace</x:v>
      </x:c>
      <x:c r="T33" s="30" t="str">
        <x:v>guardian</x:v>
      </x:c>
      <x:c r="U33" s="30" t="n">
        <x:v>0</x:v>
      </x:c>
      <x:c r="V33" s="36" t="str">
        <x:f>A33&amp;".wav"</x:f>
        <x:v>ION_HWEI_TRUST.wav</x:v>
      </x:c>
      <x:c r="W33" s="36" t="str">
        <x:v>待审核</x:v>
      </x:c>
      <x:c r="X33" s="36" t="str"/>
      <x:c r="Y33" s="36" t="str">
        <x:v>https://universe.leagueoflegends.com/en_US/story/champion/hwei</x:v>
      </x:c>
    </x:row>
    <x:row r="34" ht="68" customHeight="1">
      <x:c r="A34" s="24" t="str">
        <x:v>ION_HWEI_ANGER</x:v>
      </x:c>
      <x:c r="B34" s="24" t="str">
        <x:v>hwei</x:v>
      </x:c>
      <x:c r="C34" s="24" t="str">
        <x:v>惠</x:v>
      </x:c>
      <x:c r="D34" s="24" t="str">
        <x:v>ANGER</x:v>
      </x:c>
      <x:c r="E34" s="24" t="str">
        <x:v>被激怒</x:v>
      </x:c>
      <x:c r="F34" s="24" t="str">
        <x:v>玩家触发角色主要怒点</x:v>
      </x:c>
      <x:c r="G34" s="24" t="str">
        <x:v>玩家</x:v>
      </x:c>
      <x:c r="H34" s="24" t="str">
        <x:v>愤怒</x:v>
      </x:c>
      <x:c r="I34" s="24" t="str">
        <x:v>受伤</x:v>
      </x:c>
      <x:c r="J34" s="24" t="n">
        <x:v>4</x:v>
      </x:c>
      <x:c r="K34" s="30" t="str">
        <x:v>别用科耶恩的灰烬评价我的选择。你没有闻过那场烟。</x:v>
      </x:c>
      <x:c r="L34" s="30" t="str">
        <x:v>保持细腻、画面化、层层递进；避免持续阴郁耳语</x:v>
      </x:c>
      <x:c r="M34" s="30" t="n">
        <x:v>4</x:v>
      </x:c>
      <x:c r="N34" s="30" t="n">
        <x:v>-20</x:v>
      </x:c>
      <x:c r="O34" s="30" t="str">
        <x:v>不限</x:v>
      </x:c>
      <x:c r="P34" s="30" t="str">
        <x:v>不限</x:v>
      </x:c>
      <x:c r="Q34" s="30" t="str">
        <x:v>否</x:v>
      </x:c>
      <x:c r="R34" s="30" t="n">
        <x:v>10</x:v>
      </x:c>
      <x:c r="S34" s="30" t="str">
        <x:v>power</x:v>
      </x:c>
      <x:c r="T34" s="30" t="str">
        <x:v>strong</x:v>
      </x:c>
      <x:c r="U34" s="30" t="n">
        <x:v>3</x:v>
      </x:c>
      <x:c r="V34" s="36" t="str">
        <x:f>A34&amp;".wav"</x:f>
        <x:v>ION_HWEI_ANGER.wav</x:v>
      </x:c>
      <x:c r="W34" s="36" t="str">
        <x:v>待审核</x:v>
      </x:c>
      <x:c r="X34" s="36" t="str"/>
      <x:c r="Y34" s="36" t="str">
        <x:v>https://universe.leagueoflegends.com/en_US/story/champion/hwei</x:v>
      </x:c>
    </x:row>
    <x:row r="35" ht="68" customHeight="1">
      <x:c r="A35" s="24" t="str">
        <x:v>ION_HWEI_HURT</x:v>
      </x:c>
      <x:c r="B35" s="24" t="str">
        <x:v>hwei</x:v>
      </x:c>
      <x:c r="C35" s="24" t="str">
        <x:v>惠</x:v>
      </x:c>
      <x:c r="D35" s="24" t="str">
        <x:v>HURT</x:v>
      </x:c>
      <x:c r="E35" s="24" t="str">
        <x:v>受伤反馈</x:v>
      </x:c>
      <x:c r="F35" s="24" t="str">
        <x:v>角色受到重击但仍可行动</x:v>
      </x:c>
      <x:c r="G35" s="24" t="str">
        <x:v>玩家</x:v>
      </x:c>
      <x:c r="H35" s="24" t="str">
        <x:v>痛苦</x:v>
      </x:c>
      <x:c r="I35" s="24" t="str">
        <x:v>坚持</x:v>
      </x:c>
      <x:c r="J35" s="24" t="n">
        <x:v>4</x:v>
      </x:c>
      <x:c r="K35" s="30" t="str">
        <x:v>疼痛像溢出的墨。给我一点时间，把边界重新勾好。</x:v>
      </x:c>
      <x:c r="L35" s="30" t="str">
        <x:v>保持细腻、画面化、层层递进；避免持续阴郁耳语</x:v>
      </x:c>
      <x:c r="M35" s="30" t="n">
        <x:v>2</x:v>
      </x:c>
      <x:c r="N35" s="30" t="n">
        <x:v>0</x:v>
      </x:c>
      <x:c r="O35" s="30" t="str">
        <x:v>不限</x:v>
      </x:c>
      <x:c r="P35" s="30" t="str">
        <x:v>不限</x:v>
      </x:c>
      <x:c r="Q35" s="30" t="str">
        <x:v>否</x:v>
      </x:c>
      <x:c r="R35" s="30" t="n">
        <x:v>10</x:v>
      </x:c>
      <x:c r="S35" s="30" t="str">
        <x:v>peace</x:v>
      </x:c>
      <x:c r="T35" s="30" t="str">
        <x:v>guardian</x:v>
      </x:c>
      <x:c r="U35" s="30" t="n">
        <x:v>3</x:v>
      </x:c>
      <x:c r="V35" s="36" t="str">
        <x:f>A35&amp;".wav"</x:f>
        <x:v>ION_HWEI_HURT.wav</x:v>
      </x:c>
      <x:c r="W35" s="36" t="str">
        <x:v>待审核</x:v>
      </x:c>
      <x:c r="X35" s="36" t="str"/>
      <x:c r="Y35" s="36" t="str">
        <x:v>https://universe.leagueoflegends.com/en_US/story/champion/hwei</x:v>
      </x:c>
    </x:row>
    <x:row r="36" ht="68" customHeight="1">
      <x:c r="A36" s="24" t="str">
        <x:v>ION_HWEI_COMBAT</x:v>
      </x:c>
      <x:c r="B36" s="24" t="str">
        <x:v>hwei</x:v>
      </x:c>
      <x:c r="C36" s="24" t="str">
        <x:v>惠</x:v>
      </x:c>
      <x:c r="D36" s="24" t="str">
        <x:v>COMBAT</x:v>
      </x:c>
      <x:c r="E36" s="24" t="str">
        <x:v>战斗行动</x:v>
      </x:c>
      <x:c r="F36" s="24" t="str">
        <x:v>角色发动标志性行动</x:v>
      </x:c>
      <x:c r="G36" s="24" t="str">
        <x:v>玩家</x:v>
      </x:c>
      <x:c r="H36" s="24" t="str">
        <x:v>战意</x:v>
      </x:c>
      <x:c r="I36" s="24" t="str">
        <x:v>专注</x:v>
      </x:c>
      <x:c r="J36" s="24" t="n">
        <x:v>4</x:v>
      </x:c>
      <x:c r="K36" s="30" t="str">
        <x:v>蓝色让呼吸停下，红色让谎言燃烧——你想先面对哪一种？</x:v>
      </x:c>
      <x:c r="L36" s="30" t="str">
        <x:v>保持细腻、画面化、层层递进；避免持续阴郁耳语</x:v>
      </x:c>
      <x:c r="M36" s="30" t="n">
        <x:v>2</x:v>
      </x:c>
      <x:c r="N36" s="30" t="n">
        <x:v>0</x:v>
      </x:c>
      <x:c r="O36" s="30" t="str">
        <x:v>不限</x:v>
      </x:c>
      <x:c r="P36" s="30" t="str">
        <x:v>不限</x:v>
      </x:c>
      <x:c r="Q36" s="30" t="str">
        <x:v>否</x:v>
      </x:c>
      <x:c r="R36" s="30" t="n">
        <x:v>10</x:v>
      </x:c>
      <x:c r="S36" s="30" t="str">
        <x:v>power</x:v>
      </x:c>
      <x:c r="T36" s="30" t="str">
        <x:v>strong</x:v>
      </x:c>
      <x:c r="U36" s="30" t="n">
        <x:v>3</x:v>
      </x:c>
      <x:c r="V36" s="36" t="str">
        <x:f>A36&amp;".wav"</x:f>
        <x:v>ION_HWEI_COMBAT.wav</x:v>
      </x:c>
      <x:c r="W36" s="36" t="str">
        <x:v>待审核</x:v>
      </x:c>
      <x:c r="X36" s="36" t="str"/>
      <x:c r="Y36" s="36" t="str">
        <x:v>https://universe.leagueoflegends.com/en_US/story/champion/hwei</x:v>
      </x:c>
    </x:row>
    <x:row r="37" ht="68" customHeight="1">
      <x:c r="A37" s="24" t="str">
        <x:v>ION_HWEI_VICTORY</x:v>
      </x:c>
      <x:c r="B37" s="24" t="str">
        <x:v>hwei</x:v>
      </x:c>
      <x:c r="C37" s="24" t="str">
        <x:v>惠</x:v>
      </x:c>
      <x:c r="D37" s="24" t="str">
        <x:v>VICTORY</x:v>
      </x:c>
      <x:c r="E37" s="24" t="str">
        <x:v>战斗胜利</x:v>
      </x:c>
      <x:c r="F37" s="24" t="str">
        <x:v>威胁解除并进入结算</x:v>
      </x:c>
      <x:c r="G37" s="24" t="str">
        <x:v>玩家</x:v>
      </x:c>
      <x:c r="H37" s="24" t="str">
        <x:v>释然</x:v>
      </x:c>
      <x:c r="I37" s="24" t="str">
        <x:v>克制喜悦</x:v>
      </x:c>
      <x:c r="J37" s="24" t="n">
        <x:v>3</x:v>
      </x:c>
      <x:c r="K37" s="30" t="str">
        <x:v>画面结束了，但留下的颜色会在他们梦里继续。</x:v>
      </x:c>
      <x:c r="L37" s="30" t="str">
        <x:v>保持细腻、画面化、层层递进；避免持续阴郁耳语</x:v>
      </x:c>
      <x:c r="M37" s="30" t="n">
        <x:v>4</x:v>
      </x:c>
      <x:c r="N37" s="30" t="n">
        <x:v>0</x:v>
      </x:c>
      <x:c r="O37" s="30" t="str">
        <x:v>不限</x:v>
      </x:c>
      <x:c r="P37" s="30" t="str">
        <x:v>不限</x:v>
      </x:c>
      <x:c r="Q37" s="30" t="str">
        <x:v>否</x:v>
      </x:c>
      <x:c r="R37" s="30" t="n">
        <x:v>10</x:v>
      </x:c>
      <x:c r="S37" s="30" t="str">
        <x:v>destiny</x:v>
      </x:c>
      <x:c r="T37" s="30" t="str">
        <x:v>breaker</x:v>
      </x:c>
      <x:c r="U37" s="30" t="n">
        <x:v>3</x:v>
      </x:c>
      <x:c r="V37" s="36" t="str">
        <x:f>A37&amp;".wav"</x:f>
        <x:v>ION_HWEI_VICTORY.wav</x:v>
      </x:c>
      <x:c r="W37" s="36" t="str">
        <x:v>待审核</x:v>
      </x:c>
      <x:c r="X37" s="36" t="str"/>
      <x:c r="Y37" s="36" t="str">
        <x:v>https://universe.leagueoflegends.com/en_US/story/champion/hwei</x:v>
      </x:c>
    </x:row>
    <x:row r="38" ht="68" customHeight="1">
      <x:c r="A38" s="24" t="str">
        <x:v>ION_HWEI_DEFEAT</x:v>
      </x:c>
      <x:c r="B38" s="24" t="str">
        <x:v>hwei</x:v>
      </x:c>
      <x:c r="C38" s="24" t="str">
        <x:v>惠</x:v>
      </x:c>
      <x:c r="D38" s="24" t="str">
        <x:v>DEFEAT</x:v>
      </x:c>
      <x:c r="E38" s="24" t="str">
        <x:v>失败撤退</x:v>
      </x:c>
      <x:c r="F38" s="24" t="str">
        <x:v>角色被迫撤离或计划失败</x:v>
      </x:c>
      <x:c r="G38" s="24" t="str">
        <x:v>玩家</x:v>
      </x:c>
      <x:c r="H38" s="24" t="str">
        <x:v>挫败</x:v>
      </x:c>
      <x:c r="I38" s="24" t="str">
        <x:v>反思</x:v>
      </x:c>
      <x:c r="J38" s="24" t="n">
        <x:v>4</x:v>
      </x:c>
      <x:c r="K38" s="30" t="str">
        <x:v>我失去了构图。再继续，只会让更多人变成错误的笔触。</x:v>
      </x:c>
      <x:c r="L38" s="30" t="str">
        <x:v>保持细腻、画面化、层层递进；避免持续阴郁耳语</x:v>
      </x:c>
      <x:c r="M38" s="30" t="n">
        <x:v>5</x:v>
      </x:c>
      <x:c r="N38" s="30" t="n">
        <x:v>0</x:v>
      </x:c>
      <x:c r="O38" s="30" t="str">
        <x:v>不限</x:v>
      </x:c>
      <x:c r="P38" s="30" t="str">
        <x:v>不限</x:v>
      </x:c>
      <x:c r="Q38" s="30" t="str">
        <x:v>否</x:v>
      </x:c>
      <x:c r="R38" s="30" t="n">
        <x:v>10</x:v>
      </x:c>
      <x:c r="S38" s="30" t="str">
        <x:v>spirit</x:v>
      </x:c>
      <x:c r="T38" s="30" t="str">
        <x:v>spirit_fate</x:v>
      </x:c>
      <x:c r="U38" s="30" t="n">
        <x:v>3</x:v>
      </x:c>
      <x:c r="V38" s="36" t="str">
        <x:f>A38&amp;".wav"</x:f>
        <x:v>ION_HWEI_DEFEAT.wav</x:v>
      </x:c>
      <x:c r="W38" s="36" t="str">
        <x:v>待审核</x:v>
      </x:c>
      <x:c r="X38" s="36" t="str"/>
      <x:c r="Y38" s="36" t="str">
        <x:v>https://universe.leagueoflegends.com/en_US/story/champion/hwei</x:v>
      </x:c>
    </x:row>
    <x:row r="39" ht="68" customHeight="1">
      <x:c r="A39" s="24" t="str">
        <x:v>ION_HWEI_LORE</x:v>
      </x:c>
      <x:c r="B39" s="24" t="str">
        <x:v>hwei</x:v>
      </x:c>
      <x:c r="C39" s="24" t="str">
        <x:v>惠</x:v>
      </x:c>
      <x:c r="D39" s="24" t="str">
        <x:v>LORE</x:v>
      </x:c>
      <x:c r="E39" s="24" t="str">
        <x:v>世界观讲述</x:v>
      </x:c>
      <x:c r="F39" s="24" t="str">
        <x:v>玩家询问人物、地点或往事</x:v>
      </x:c>
      <x:c r="G39" s="24" t="str">
        <x:v>玩家</x:v>
      </x:c>
      <x:c r="H39" s="24" t="str">
        <x:v>叙述</x:v>
      </x:c>
      <x:c r="I39" s="24" t="str">
        <x:v>怀念</x:v>
      </x:c>
      <x:c r="J39" s="24" t="n">
        <x:v>2</x:v>
      </x:c>
      <x:c r="K39" s="30" t="str">
        <x:v>科耶恩教人控制每一笔，却没人教我们如何面对画布之外的恶意。</x:v>
      </x:c>
      <x:c r="L39" s="30" t="str">
        <x:v>保持细腻、画面化、层层递进；避免持续阴郁耳语</x:v>
      </x:c>
      <x:c r="M39" s="30" t="n">
        <x:v>8</x:v>
      </x:c>
      <x:c r="N39" s="30" t="n">
        <x:v>0</x:v>
      </x:c>
      <x:c r="O39" s="30" t="str">
        <x:v>不限</x:v>
      </x:c>
      <x:c r="P39" s="30" t="str">
        <x:v>不限</x:v>
      </x:c>
      <x:c r="Q39" s="30" t="str">
        <x:v>是</x:v>
      </x:c>
      <x:c r="R39" s="30" t="n">
        <x:v>10</x:v>
      </x:c>
      <x:c r="S39" s="30" t="str">
        <x:v>spirit</x:v>
      </x:c>
      <x:c r="T39" s="30" t="str">
        <x:v>spirit_fate</x:v>
      </x:c>
      <x:c r="U39" s="30" t="n">
        <x:v>0</x:v>
      </x:c>
      <x:c r="V39" s="36" t="str">
        <x:f>A39&amp;".wav"</x:f>
        <x:v>ION_HWEI_LORE.wav</x:v>
      </x:c>
      <x:c r="W39" s="36" t="str">
        <x:v>待审核</x:v>
      </x:c>
      <x:c r="X39" s="36" t="str"/>
      <x:c r="Y39" s="36" t="str">
        <x:v>https://universe.leagueoflegends.com/en_US/story/champion/hwei</x:v>
      </x:c>
    </x:row>
    <x:row r="40" ht="68" customHeight="1">
      <x:c r="A40" s="24" t="str">
        <x:v>ION_HWEI_FAREWELL</x:v>
      </x:c>
      <x:c r="B40" s="24" t="str">
        <x:v>hwei</x:v>
      </x:c>
      <x:c r="C40" s="24" t="str">
        <x:v>惠</x:v>
      </x:c>
      <x:c r="D40" s="24" t="str">
        <x:v>FAREWELL</x:v>
      </x:c>
      <x:c r="E40" s="24" t="str">
        <x:v>阶段告别</x:v>
      </x:c>
      <x:c r="F40" s="24" t="str">
        <x:v>事件结束或角色离开队伍</x:v>
      </x:c>
      <x:c r="G40" s="24" t="str">
        <x:v>玩家</x:v>
      </x:c>
      <x:c r="H40" s="24" t="str">
        <x:v>告别</x:v>
      </x:c>
      <x:c r="I40" s="24" t="str">
        <x:v>复杂</x:v>
      </x:c>
      <x:c r="J40" s="24" t="n">
        <x:v>3</x:v>
      </x:c>
      <x:c r="K40" s="30" t="str">
        <x:v>我还要追那道黑色。下次相遇，希望你仍保有自己的颜色。</x:v>
      </x:c>
      <x:c r="L40" s="30" t="str">
        <x:v>保持细腻、画面化、层层递进；避免持续阴郁耳语</x:v>
      </x:c>
      <x:c r="M40" s="30" t="n">
        <x:v>5</x:v>
      </x:c>
      <x:c r="N40" s="30" t="n">
        <x:v>0</x:v>
      </x:c>
      <x:c r="O40" s="30" t="str">
        <x:v>不限</x:v>
      </x:c>
      <x:c r="P40" s="30" t="str">
        <x:v>不限</x:v>
      </x:c>
      <x:c r="Q40" s="30" t="str">
        <x:v>否</x:v>
      </x:c>
      <x:c r="R40" s="30" t="n">
        <x:v>10</x:v>
      </x:c>
      <x:c r="S40" s="30" t="str">
        <x:v>freedom</x:v>
      </x:c>
      <x:c r="T40" s="30" t="str">
        <x:v>wanderer</x:v>
      </x:c>
      <x:c r="U40" s="30" t="n">
        <x:v>3</x:v>
      </x:c>
      <x:c r="V40" s="36" t="str">
        <x:f>A40&amp;".wav"</x:f>
        <x:v>ION_HWEI_FAREWELL.wav</x:v>
      </x:c>
      <x:c r="W40" s="36" t="str">
        <x:v>待审核</x:v>
      </x:c>
      <x:c r="X40" s="36" t="str"/>
      <x:c r="Y40" s="36" t="str">
        <x:v>https://universe.leagueoflegends.com/en_US/story/champion/hwei</x:v>
      </x:c>
    </x:row>
    <x:row r="41" ht="68" customHeight="1">
      <x:c r="A41" s="24" t="str">
        <x:v>ION_IRELIA_MEET</x:v>
      </x:c>
      <x:c r="B41" s="24" t="str">
        <x:v>irelia</x:v>
      </x:c>
      <x:c r="C41" s="24" t="str">
        <x:v>艾瑞莉娅</x:v>
      </x:c>
      <x:c r="D41" s="24" t="str">
        <x:v>MEET</x:v>
      </x:c>
      <x:c r="E41" s="24" t="str">
        <x:v>初次相遇</x:v>
      </x:c>
      <x:c r="F41" s="24" t="str">
        <x:v>玩家第一次接近角色</x:v>
      </x:c>
      <x:c r="G41" s="24" t="str">
        <x:v>玩家</x:v>
      </x:c>
      <x:c r="H41" s="24" t="str">
        <x:v>审视</x:v>
      </x:c>
      <x:c r="I41" s="24" t="str">
        <x:v>中性</x:v>
      </x:c>
      <x:c r="J41" s="24" t="n">
        <x:v>2</x:v>
      </x:c>
      <x:c r="K41" s="30" t="str">
        <x:v>你来到纳沃利，就该先学会听土地，而不是听关于我的传说。</x:v>
      </x:c>
      <x:c r="L41" s="30" t="str">
        <x:v>保持庄重清晰，情绪在克制下涌动；避免喊口号式扁平英雄腔</x:v>
      </x:c>
      <x:c r="M41" s="30" t="n">
        <x:v>4</x:v>
      </x:c>
      <x:c r="N41" s="30" t="n">
        <x:v>0</x:v>
      </x:c>
      <x:c r="O41" s="30" t="str">
        <x:v>不限</x:v>
      </x:c>
      <x:c r="P41" s="30" t="str">
        <x:v>不限</x:v>
      </x:c>
      <x:c r="Q41" s="30" t="str">
        <x:v>是</x:v>
      </x:c>
      <x:c r="R41" s="30" t="n">
        <x:v>10</x:v>
      </x:c>
      <x:c r="S41" s="30" t="str">
        <x:v>destiny</x:v>
      </x:c>
      <x:c r="T41" s="30" t="str">
        <x:v>breaker</x:v>
      </x:c>
      <x:c r="U41" s="30" t="n">
        <x:v>0</x:v>
      </x:c>
      <x:c r="V41" s="36" t="str">
        <x:f>A41&amp;".wav"</x:f>
        <x:v>ION_IRELIA_MEET.wav</x:v>
      </x:c>
      <x:c r="W41" s="36" t="str">
        <x:v>待审核</x:v>
      </x:c>
      <x:c r="X41" s="36" t="str"/>
      <x:c r="Y41" s="36" t="str">
        <x:v>https://universe.leagueoflegends.com/en_US/champion/irelia/</x:v>
      </x:c>
    </x:row>
    <x:row r="42" ht="68" customHeight="1">
      <x:c r="A42" s="24" t="str">
        <x:v>ION_IRELIA_GREET</x:v>
      </x:c>
      <x:c r="B42" s="24" t="str">
        <x:v>irelia</x:v>
      </x:c>
      <x:c r="C42" s="24" t="str">
        <x:v>艾瑞莉娅</x:v>
      </x:c>
      <x:c r="D42" s="24" t="str">
        <x:v>GREET</x:v>
      </x:c>
      <x:c r="E42" s="24" t="str">
        <x:v>友好问候</x:v>
      </x:c>
      <x:c r="F42" s="24" t="str">
        <x:v>关系值达到友好后进入对话</x:v>
      </x:c>
      <x:c r="G42" s="24" t="str">
        <x:v>玩家</x:v>
      </x:c>
      <x:c r="H42" s="24" t="str">
        <x:v>友善</x:v>
      </x:c>
      <x:c r="I42" s="24" t="str">
        <x:v>喜悦</x:v>
      </x:c>
      <x:c r="J42" s="24" t="n">
        <x:v>2</x:v>
      </x:c>
      <x:c r="K42" s="30" t="str">
        <x:v>村里的人记得你帮过谁。比任何旗帜都可靠。</x:v>
      </x:c>
      <x:c r="L42" s="30" t="str">
        <x:v>保持庄重清晰，情绪在克制下涌动；避免喊口号式扁平英雄腔</x:v>
      </x:c>
      <x:c r="M42" s="30" t="n">
        <x:v>3</x:v>
      </x:c>
      <x:c r="N42" s="30" t="n">
        <x:v>10</x:v>
      </x:c>
      <x:c r="O42" s="30" t="str">
        <x:v>不限</x:v>
      </x:c>
      <x:c r="P42" s="30" t="str">
        <x:v>不限</x:v>
      </x:c>
      <x:c r="Q42" s="30" t="str">
        <x:v>否</x:v>
      </x:c>
      <x:c r="R42" s="30" t="n">
        <x:v>10</x:v>
      </x:c>
      <x:c r="S42" s="30" t="str">
        <x:v>peace</x:v>
      </x:c>
      <x:c r="T42" s="30" t="str">
        <x:v>guardian</x:v>
      </x:c>
      <x:c r="U42" s="30" t="n">
        <x:v>3</x:v>
      </x:c>
      <x:c r="V42" s="36" t="str">
        <x:f>A42&amp;".wav"</x:f>
        <x:v>ION_IRELIA_GREET.wav</x:v>
      </x:c>
      <x:c r="W42" s="36" t="str">
        <x:v>待审核</x:v>
      </x:c>
      <x:c r="X42" s="36" t="str"/>
      <x:c r="Y42" s="36" t="str">
        <x:v>https://universe.leagueoflegends.com/en_US/champion/irelia/</x:v>
      </x:c>
    </x:row>
    <x:row r="43" ht="68" customHeight="1">
      <x:c r="A43" s="24" t="str">
        <x:v>ION_IRELIA_WARN</x:v>
      </x:c>
      <x:c r="B43" s="24" t="str">
        <x:v>irelia</x:v>
      </x:c>
      <x:c r="C43" s="24" t="str">
        <x:v>艾瑞莉娅</x:v>
      </x:c>
      <x:c r="D43" s="24" t="str">
        <x:v>WARN</x:v>
      </x:c>
      <x:c r="E43" s="24" t="str">
        <x:v>危险警告</x:v>
      </x:c>
      <x:c r="F43" s="24" t="str">
        <x:v>区域威胁或伏击即将发生</x:v>
      </x:c>
      <x:c r="G43" s="24" t="str">
        <x:v>玩家</x:v>
      </x:c>
      <x:c r="H43" s="24" t="str">
        <x:v>紧张</x:v>
      </x:c>
      <x:c r="I43" s="24" t="str">
        <x:v>警觉</x:v>
      </x:c>
      <x:c r="J43" s="24" t="n">
        <x:v>3</x:v>
      </x:c>
      <x:c r="K43" s="30" t="str">
        <x:v>刀刃在震动。诺克萨斯的铁器离这里不远。</x:v>
      </x:c>
      <x:c r="L43" s="30" t="str">
        <x:v>保持庄重清晰，情绪在克制下涌动；避免喊口号式扁平英雄腔</x:v>
      </x:c>
      <x:c r="M43" s="30" t="n">
        <x:v>3</x:v>
      </x:c>
      <x:c r="N43" s="30" t="n">
        <x:v>0</x:v>
      </x:c>
      <x:c r="O43" s="30" t="str">
        <x:v>不限</x:v>
      </x:c>
      <x:c r="P43" s="30" t="str">
        <x:v>不限</x:v>
      </x:c>
      <x:c r="Q43" s="30" t="str">
        <x:v>否</x:v>
      </x:c>
      <x:c r="R43" s="30" t="n">
        <x:v>10</x:v>
      </x:c>
      <x:c r="S43" s="30" t="str">
        <x:v>destiny</x:v>
      </x:c>
      <x:c r="T43" s="30" t="str">
        <x:v>breaker</x:v>
      </x:c>
      <x:c r="U43" s="30" t="n">
        <x:v>3</x:v>
      </x:c>
      <x:c r="V43" s="36" t="str">
        <x:f>A43&amp;".wav"</x:f>
        <x:v>ION_IRELIA_WARN.wav</x:v>
      </x:c>
      <x:c r="W43" s="36" t="str">
        <x:v>待审核</x:v>
      </x:c>
      <x:c r="X43" s="36" t="str"/>
      <x:c r="Y43" s="36" t="str">
        <x:v>https://universe.leagueoflegends.com/en_US/champion/irelia/</x:v>
      </x:c>
    </x:row>
    <x:row r="44" ht="68" customHeight="1">
      <x:c r="A44" s="24" t="str">
        <x:v>ION_IRELIA_REFUSE</x:v>
      </x:c>
      <x:c r="B44" s="24" t="str">
        <x:v>irelia</x:v>
      </x:c>
      <x:c r="C44" s="24" t="str">
        <x:v>艾瑞莉娅</x:v>
      </x:c>
      <x:c r="D44" s="24" t="str">
        <x:v>REFUSE</x:v>
      </x:c>
      <x:c r="E44" s="24" t="str">
        <x:v>拒绝请求</x:v>
      </x:c>
      <x:c r="F44" s="24" t="str">
        <x:v>玩家请求触碰角色底线</x:v>
      </x:c>
      <x:c r="G44" s="24" t="str">
        <x:v>玩家</x:v>
      </x:c>
      <x:c r="H44" s="24" t="str">
        <x:v>拒绝</x:v>
      </x:c>
      <x:c r="I44" s="24" t="str">
        <x:v>厌恶</x:v>
      </x:c>
      <x:c r="J44" s="24" t="n">
        <x:v>3</x:v>
      </x:c>
      <x:c r="K44" s="30" t="str">
        <x:v>我不会用平民的命换一场漂亮的胜利。换个方案。</x:v>
      </x:c>
      <x:c r="L44" s="30" t="str">
        <x:v>保持庄重清晰，情绪在克制下涌动；避免喊口号式扁平英雄腔</x:v>
      </x:c>
      <x:c r="M44" s="30" t="n">
        <x:v>4</x:v>
      </x:c>
      <x:c r="N44" s="30" t="n">
        <x:v>-20</x:v>
      </x:c>
      <x:c r="O44" s="30" t="str">
        <x:v>不限</x:v>
      </x:c>
      <x:c r="P44" s="30" t="str">
        <x:v>不限</x:v>
      </x:c>
      <x:c r="Q44" s="30" t="str">
        <x:v>否</x:v>
      </x:c>
      <x:c r="R44" s="30" t="n">
        <x:v>10</x:v>
      </x:c>
      <x:c r="S44" s="30" t="str">
        <x:v>freedom</x:v>
      </x:c>
      <x:c r="T44" s="30" t="str">
        <x:v>wanderer</x:v>
      </x:c>
      <x:c r="U44" s="30" t="n">
        <x:v>3</x:v>
      </x:c>
      <x:c r="V44" s="36" t="str">
        <x:f>A44&amp;".wav"</x:f>
        <x:v>ION_IRELIA_REFUSE.wav</x:v>
      </x:c>
      <x:c r="W44" s="36" t="str">
        <x:v>待审核</x:v>
      </x:c>
      <x:c r="X44" s="36" t="str"/>
      <x:c r="Y44" s="36" t="str">
        <x:v>https://universe.leagueoflegends.com/en_US/champion/irelia/</x:v>
      </x:c>
    </x:row>
    <x:row r="45" ht="68" customHeight="1">
      <x:c r="A45" s="24" t="str">
        <x:v>ION_IRELIA_TRUST</x:v>
      </x:c>
      <x:c r="B45" s="24" t="str">
        <x:v>irelia</x:v>
      </x:c>
      <x:c r="C45" s="24" t="str">
        <x:v>艾瑞莉娅</x:v>
      </x:c>
      <x:c r="D45" s="24" t="str">
        <x:v>TRUST</x:v>
      </x:c>
      <x:c r="E45" s="24" t="str">
        <x:v>建立信任</x:v>
      </x:c>
      <x:c r="F45" s="24" t="str">
        <x:v>玩家满足角色的信任条件</x:v>
      </x:c>
      <x:c r="G45" s="24" t="str">
        <x:v>玩家</x:v>
      </x:c>
      <x:c r="H45" s="24" t="str">
        <x:v>信任</x:v>
      </x:c>
      <x:c r="I45" s="24" t="str">
        <x:v>柔和</x:v>
      </x:c>
      <x:c r="J45" s="24" t="n">
        <x:v>3</x:v>
      </x:c>
      <x:c r="K45" s="30" t="str">
        <x:v>我守正面，你守住撤离的人。今天，我们彼此托付。</x:v>
      </x:c>
      <x:c r="L45" s="30" t="str">
        <x:v>保持庄重清晰，情绪在克制下涌动；避免喊口号式扁平英雄腔</x:v>
      </x:c>
      <x:c r="M45" s="30" t="n">
        <x:v>5</x:v>
      </x:c>
      <x:c r="N45" s="30" t="n">
        <x:v>40</x:v>
      </x:c>
      <x:c r="O45" s="30" t="str">
        <x:v>不限</x:v>
      </x:c>
      <x:c r="P45" s="30" t="str">
        <x:v>不限</x:v>
      </x:c>
      <x:c r="Q45" s="30" t="str">
        <x:v>是</x:v>
      </x:c>
      <x:c r="R45" s="30" t="n">
        <x:v>10</x:v>
      </x:c>
      <x:c r="S45" s="30" t="str">
        <x:v>peace</x:v>
      </x:c>
      <x:c r="T45" s="30" t="str">
        <x:v>guardian</x:v>
      </x:c>
      <x:c r="U45" s="30" t="n">
        <x:v>0</x:v>
      </x:c>
      <x:c r="V45" s="36" t="str">
        <x:f>A45&amp;".wav"</x:f>
        <x:v>ION_IRELIA_TRUST.wav</x:v>
      </x:c>
      <x:c r="W45" s="36" t="str">
        <x:v>待审核</x:v>
      </x:c>
      <x:c r="X45" s="36" t="str"/>
      <x:c r="Y45" s="36" t="str">
        <x:v>https://universe.leagueoflegends.com/en_US/champion/irelia/</x:v>
      </x:c>
    </x:row>
    <x:row r="46" ht="68" customHeight="1">
      <x:c r="A46" s="24" t="str">
        <x:v>ION_IRELIA_ANGER</x:v>
      </x:c>
      <x:c r="B46" s="24" t="str">
        <x:v>irelia</x:v>
      </x:c>
      <x:c r="C46" s="24" t="str">
        <x:v>艾瑞莉娅</x:v>
      </x:c>
      <x:c r="D46" s="24" t="str">
        <x:v>ANGER</x:v>
      </x:c>
      <x:c r="E46" s="24" t="str">
        <x:v>被激怒</x:v>
      </x:c>
      <x:c r="F46" s="24" t="str">
        <x:v>玩家触发角色主要怒点</x:v>
      </x:c>
      <x:c r="G46" s="24" t="str">
        <x:v>玩家</x:v>
      </x:c>
      <x:c r="H46" s="24" t="str">
        <x:v>愤怒</x:v>
      </x:c>
      <x:c r="I46" s="24" t="str">
        <x:v>受伤</x:v>
      </x:c>
      <x:c r="J46" s="24" t="n">
        <x:v>4</x:v>
      </x:c>
      <x:c r="K46" s="30" t="str">
        <x:v>别把死者的名字当成煽动活人的工具。</x:v>
      </x:c>
      <x:c r="L46" s="30" t="str">
        <x:v>保持庄重清晰，情绪在克制下涌动；避免喊口号式扁平英雄腔</x:v>
      </x:c>
      <x:c r="M46" s="30" t="n">
        <x:v>4</x:v>
      </x:c>
      <x:c r="N46" s="30" t="n">
        <x:v>-20</x:v>
      </x:c>
      <x:c r="O46" s="30" t="str">
        <x:v>不限</x:v>
      </x:c>
      <x:c r="P46" s="30" t="str">
        <x:v>不限</x:v>
      </x:c>
      <x:c r="Q46" s="30" t="str">
        <x:v>否</x:v>
      </x:c>
      <x:c r="R46" s="30" t="n">
        <x:v>10</x:v>
      </x:c>
      <x:c r="S46" s="30" t="str">
        <x:v>power</x:v>
      </x:c>
      <x:c r="T46" s="30" t="str">
        <x:v>strong</x:v>
      </x:c>
      <x:c r="U46" s="30" t="n">
        <x:v>3</x:v>
      </x:c>
      <x:c r="V46" s="36" t="str">
        <x:f>A46&amp;".wav"</x:f>
        <x:v>ION_IRELIA_ANGER.wav</x:v>
      </x:c>
      <x:c r="W46" s="36" t="str">
        <x:v>待审核</x:v>
      </x:c>
      <x:c r="X46" s="36" t="str"/>
      <x:c r="Y46" s="36" t="str">
        <x:v>https://universe.leagueoflegends.com/en_US/champion/irelia/</x:v>
      </x:c>
    </x:row>
    <x:row r="47" ht="68" customHeight="1">
      <x:c r="A47" s="24" t="str">
        <x:v>ION_IRELIA_HURT</x:v>
      </x:c>
      <x:c r="B47" s="24" t="str">
        <x:v>irelia</x:v>
      </x:c>
      <x:c r="C47" s="24" t="str">
        <x:v>艾瑞莉娅</x:v>
      </x:c>
      <x:c r="D47" s="24" t="str">
        <x:v>HURT</x:v>
      </x:c>
      <x:c r="E47" s="24" t="str">
        <x:v>受伤反馈</x:v>
      </x:c>
      <x:c r="F47" s="24" t="str">
        <x:v>角色受到重击但仍可行动</x:v>
      </x:c>
      <x:c r="G47" s="24" t="str">
        <x:v>玩家</x:v>
      </x:c>
      <x:c r="H47" s="24" t="str">
        <x:v>痛苦</x:v>
      </x:c>
      <x:c r="I47" s="24" t="str">
        <x:v>坚持</x:v>
      </x:c>
      <x:c r="J47" s="24" t="n">
        <x:v>4</x:v>
      </x:c>
      <x:c r="K47" s="30" t="str">
        <x:v>还能站。舞步乱了，呼吸没有。</x:v>
      </x:c>
      <x:c r="L47" s="30" t="str">
        <x:v>保持庄重清晰，情绪在克制下涌动；避免喊口号式扁平英雄腔</x:v>
      </x:c>
      <x:c r="M47" s="30" t="n">
        <x:v>2</x:v>
      </x:c>
      <x:c r="N47" s="30" t="n">
        <x:v>0</x:v>
      </x:c>
      <x:c r="O47" s="30" t="str">
        <x:v>不限</x:v>
      </x:c>
      <x:c r="P47" s="30" t="str">
        <x:v>不限</x:v>
      </x:c>
      <x:c r="Q47" s="30" t="str">
        <x:v>否</x:v>
      </x:c>
      <x:c r="R47" s="30" t="n">
        <x:v>10</x:v>
      </x:c>
      <x:c r="S47" s="30" t="str">
        <x:v>peace</x:v>
      </x:c>
      <x:c r="T47" s="30" t="str">
        <x:v>guardian</x:v>
      </x:c>
      <x:c r="U47" s="30" t="n">
        <x:v>3</x:v>
      </x:c>
      <x:c r="V47" s="36" t="str">
        <x:f>A47&amp;".wav"</x:f>
        <x:v>ION_IRELIA_HURT.wav</x:v>
      </x:c>
      <x:c r="W47" s="36" t="str">
        <x:v>待审核</x:v>
      </x:c>
      <x:c r="X47" s="36" t="str"/>
      <x:c r="Y47" s="36" t="str">
        <x:v>https://universe.leagueoflegends.com/en_US/champion/irelia/</x:v>
      </x:c>
    </x:row>
    <x:row r="48" ht="68" customHeight="1">
      <x:c r="A48" s="24" t="str">
        <x:v>ION_IRELIA_COMBAT</x:v>
      </x:c>
      <x:c r="B48" s="24" t="str">
        <x:v>irelia</x:v>
      </x:c>
      <x:c r="C48" s="24" t="str">
        <x:v>艾瑞莉娅</x:v>
      </x:c>
      <x:c r="D48" s="24" t="str">
        <x:v>COMBAT</x:v>
      </x:c>
      <x:c r="E48" s="24" t="str">
        <x:v>战斗行动</x:v>
      </x:c>
      <x:c r="F48" s="24" t="str">
        <x:v>角色发动标志性行动</x:v>
      </x:c>
      <x:c r="G48" s="24" t="str">
        <x:v>玩家</x:v>
      </x:c>
      <x:c r="H48" s="24" t="str">
        <x:v>战意</x:v>
      </x:c>
      <x:c r="I48" s="24" t="str">
        <x:v>专注</x:v>
      </x:c>
      <x:c r="J48" s="24" t="n">
        <x:v>4</x:v>
      </x:c>
      <x:c r="K48" s="30" t="str">
        <x:v>跟住节奏——一步避锋，两步断阵，第三步让他们退。</x:v>
      </x:c>
      <x:c r="L48" s="30" t="str">
        <x:v>保持庄重清晰，情绪在克制下涌动；避免喊口号式扁平英雄腔</x:v>
      </x:c>
      <x:c r="M48" s="30" t="n">
        <x:v>2</x:v>
      </x:c>
      <x:c r="N48" s="30" t="n">
        <x:v>0</x:v>
      </x:c>
      <x:c r="O48" s="30" t="str">
        <x:v>不限</x:v>
      </x:c>
      <x:c r="P48" s="30" t="str">
        <x:v>不限</x:v>
      </x:c>
      <x:c r="Q48" s="30" t="str">
        <x:v>否</x:v>
      </x:c>
      <x:c r="R48" s="30" t="n">
        <x:v>10</x:v>
      </x:c>
      <x:c r="S48" s="30" t="str">
        <x:v>power</x:v>
      </x:c>
      <x:c r="T48" s="30" t="str">
        <x:v>strong</x:v>
      </x:c>
      <x:c r="U48" s="30" t="n">
        <x:v>3</x:v>
      </x:c>
      <x:c r="V48" s="36" t="str">
        <x:f>A48&amp;".wav"</x:f>
        <x:v>ION_IRELIA_COMBAT.wav</x:v>
      </x:c>
      <x:c r="W48" s="36" t="str">
        <x:v>待审核</x:v>
      </x:c>
      <x:c r="X48" s="36" t="str"/>
      <x:c r="Y48" s="36" t="str">
        <x:v>https://universe.leagueoflegends.com/en_US/champion/irelia/</x:v>
      </x:c>
    </x:row>
    <x:row r="49" ht="68" customHeight="1">
      <x:c r="A49" s="24" t="str">
        <x:v>ION_IRELIA_VICTORY</x:v>
      </x:c>
      <x:c r="B49" s="24" t="str">
        <x:v>irelia</x:v>
      </x:c>
      <x:c r="C49" s="24" t="str">
        <x:v>艾瑞莉娅</x:v>
      </x:c>
      <x:c r="D49" s="24" t="str">
        <x:v>VICTORY</x:v>
      </x:c>
      <x:c r="E49" s="24" t="str">
        <x:v>战斗胜利</x:v>
      </x:c>
      <x:c r="F49" s="24" t="str">
        <x:v>威胁解除并进入结算</x:v>
      </x:c>
      <x:c r="G49" s="24" t="str">
        <x:v>玩家</x:v>
      </x:c>
      <x:c r="H49" s="24" t="str">
        <x:v>释然</x:v>
      </x:c>
      <x:c r="I49" s="24" t="str">
        <x:v>克制喜悦</x:v>
      </x:c>
      <x:c r="J49" s="24" t="n">
        <x:v>3</x:v>
      </x:c>
      <x:c r="K49" s="30" t="str">
        <x:v>收起刀。胜利之后最先要做的，是确认谁没有回来。</x:v>
      </x:c>
      <x:c r="L49" s="30" t="str">
        <x:v>保持庄重清晰，情绪在克制下涌动；避免喊口号式扁平英雄腔</x:v>
      </x:c>
      <x:c r="M49" s="30" t="n">
        <x:v>4</x:v>
      </x:c>
      <x:c r="N49" s="30" t="n">
        <x:v>0</x:v>
      </x:c>
      <x:c r="O49" s="30" t="str">
        <x:v>不限</x:v>
      </x:c>
      <x:c r="P49" s="30" t="str">
        <x:v>不限</x:v>
      </x:c>
      <x:c r="Q49" s="30" t="str">
        <x:v>否</x:v>
      </x:c>
      <x:c r="R49" s="30" t="n">
        <x:v>10</x:v>
      </x:c>
      <x:c r="S49" s="30" t="str">
        <x:v>destiny</x:v>
      </x:c>
      <x:c r="T49" s="30" t="str">
        <x:v>breaker</x:v>
      </x:c>
      <x:c r="U49" s="30" t="n">
        <x:v>3</x:v>
      </x:c>
      <x:c r="V49" s="36" t="str">
        <x:f>A49&amp;".wav"</x:f>
        <x:v>ION_IRELIA_VICTORY.wav</x:v>
      </x:c>
      <x:c r="W49" s="36" t="str">
        <x:v>待审核</x:v>
      </x:c>
      <x:c r="X49" s="36" t="str"/>
      <x:c r="Y49" s="36" t="str">
        <x:v>https://universe.leagueoflegends.com/en_US/champion/irelia/</x:v>
      </x:c>
    </x:row>
    <x:row r="50" ht="68" customHeight="1">
      <x:c r="A50" s="24" t="str">
        <x:v>ION_IRELIA_DEFEAT</x:v>
      </x:c>
      <x:c r="B50" s="24" t="str">
        <x:v>irelia</x:v>
      </x:c>
      <x:c r="C50" s="24" t="str">
        <x:v>艾瑞莉娅</x:v>
      </x:c>
      <x:c r="D50" s="24" t="str">
        <x:v>DEFEAT</x:v>
      </x:c>
      <x:c r="E50" s="24" t="str">
        <x:v>失败撤退</x:v>
      </x:c>
      <x:c r="F50" s="24" t="str">
        <x:v>角色被迫撤离或计划失败</x:v>
      </x:c>
      <x:c r="G50" s="24" t="str">
        <x:v>玩家</x:v>
      </x:c>
      <x:c r="H50" s="24" t="str">
        <x:v>挫败</x:v>
      </x:c>
      <x:c r="I50" s="24" t="str">
        <x:v>反思</x:v>
      </x:c>
      <x:c r="J50" s="24" t="n">
        <x:v>4</x:v>
      </x:c>
      <x:c r="K50" s="30" t="str">
        <x:v>这次是我没能守住阵线。记下原因，不要只记住痛。</x:v>
      </x:c>
      <x:c r="L50" s="30" t="str">
        <x:v>保持庄重清晰，情绪在克制下涌动；避免喊口号式扁平英雄腔</x:v>
      </x:c>
      <x:c r="M50" s="30" t="n">
        <x:v>5</x:v>
      </x:c>
      <x:c r="N50" s="30" t="n">
        <x:v>0</x:v>
      </x:c>
      <x:c r="O50" s="30" t="str">
        <x:v>不限</x:v>
      </x:c>
      <x:c r="P50" s="30" t="str">
        <x:v>不限</x:v>
      </x:c>
      <x:c r="Q50" s="30" t="str">
        <x:v>否</x:v>
      </x:c>
      <x:c r="R50" s="30" t="n">
        <x:v>10</x:v>
      </x:c>
      <x:c r="S50" s="30" t="str">
        <x:v>spirit</x:v>
      </x:c>
      <x:c r="T50" s="30" t="str">
        <x:v>spirit_fate</x:v>
      </x:c>
      <x:c r="U50" s="30" t="n">
        <x:v>3</x:v>
      </x:c>
      <x:c r="V50" s="36" t="str">
        <x:f>A50&amp;".wav"</x:f>
        <x:v>ION_IRELIA_DEFEAT.wav</x:v>
      </x:c>
      <x:c r="W50" s="36" t="str">
        <x:v>待审核</x:v>
      </x:c>
      <x:c r="X50" s="36" t="str"/>
      <x:c r="Y50" s="36" t="str">
        <x:v>https://universe.leagueoflegends.com/en_US/champion/irelia/</x:v>
      </x:c>
    </x:row>
    <x:row r="51" ht="68" customHeight="1">
      <x:c r="A51" s="24" t="str">
        <x:v>ION_IRELIA_LORE</x:v>
      </x:c>
      <x:c r="B51" s="24" t="str">
        <x:v>irelia</x:v>
      </x:c>
      <x:c r="C51" s="24" t="str">
        <x:v>艾瑞莉娅</x:v>
      </x:c>
      <x:c r="D51" s="24" t="str">
        <x:v>LORE</x:v>
      </x:c>
      <x:c r="E51" s="24" t="str">
        <x:v>世界观讲述</x:v>
      </x:c>
      <x:c r="F51" s="24" t="str">
        <x:v>玩家询问人物、地点或往事</x:v>
      </x:c>
      <x:c r="G51" s="24" t="str">
        <x:v>玩家</x:v>
      </x:c>
      <x:c r="H51" s="24" t="str">
        <x:v>叙述</x:v>
      </x:c>
      <x:c r="I51" s="24" t="str">
        <x:v>怀念</x:v>
      </x:c>
      <x:c r="J51" s="24" t="n">
        <x:v>2</x:v>
      </x:c>
      <x:c r="K51" s="30" t="str">
        <x:v>普雷西典之后，人们叫我领袖；我更怀念家里教舞的那个女孩。</x:v>
      </x:c>
      <x:c r="L51" s="30" t="str">
        <x:v>保持庄重清晰，情绪在克制下涌动；避免喊口号式扁平英雄腔</x:v>
      </x:c>
      <x:c r="M51" s="30" t="n">
        <x:v>8</x:v>
      </x:c>
      <x:c r="N51" s="30" t="n">
        <x:v>0</x:v>
      </x:c>
      <x:c r="O51" s="30" t="str">
        <x:v>不限</x:v>
      </x:c>
      <x:c r="P51" s="30" t="str">
        <x:v>不限</x:v>
      </x:c>
      <x:c r="Q51" s="30" t="str">
        <x:v>是</x:v>
      </x:c>
      <x:c r="R51" s="30" t="n">
        <x:v>10</x:v>
      </x:c>
      <x:c r="S51" s="30" t="str">
        <x:v>spirit</x:v>
      </x:c>
      <x:c r="T51" s="30" t="str">
        <x:v>spirit_fate</x:v>
      </x:c>
      <x:c r="U51" s="30" t="n">
        <x:v>0</x:v>
      </x:c>
      <x:c r="V51" s="36" t="str">
        <x:f>A51&amp;".wav"</x:f>
        <x:v>ION_IRELIA_LORE.wav</x:v>
      </x:c>
      <x:c r="W51" s="36" t="str">
        <x:v>待审核</x:v>
      </x:c>
      <x:c r="X51" s="36" t="str"/>
      <x:c r="Y51" s="36" t="str">
        <x:v>https://universe.leagueoflegends.com/en_US/champion/irelia/</x:v>
      </x:c>
    </x:row>
    <x:row r="52" ht="68" customHeight="1">
      <x:c r="A52" s="24" t="str">
        <x:v>ION_IRELIA_FAREWELL</x:v>
      </x:c>
      <x:c r="B52" s="24" t="str">
        <x:v>irelia</x:v>
      </x:c>
      <x:c r="C52" s="24" t="str">
        <x:v>艾瑞莉娅</x:v>
      </x:c>
      <x:c r="D52" s="24" t="str">
        <x:v>FAREWELL</x:v>
      </x:c>
      <x:c r="E52" s="24" t="str">
        <x:v>阶段告别</x:v>
      </x:c>
      <x:c r="F52" s="24" t="str">
        <x:v>事件结束或角色离开队伍</x:v>
      </x:c>
      <x:c r="G52" s="24" t="str">
        <x:v>玩家</x:v>
      </x:c>
      <x:c r="H52" s="24" t="str">
        <x:v>告别</x:v>
      </x:c>
      <x:c r="I52" s="24" t="str">
        <x:v>复杂</x:v>
      </x:c>
      <x:c r="J52" s="24" t="n">
        <x:v>3</x:v>
      </x:c>
      <x:c r="K52" s="30" t="str">
        <x:v>我必须回到人群中。愿你下一次拔剑，仍知道为何而战。</x:v>
      </x:c>
      <x:c r="L52" s="30" t="str">
        <x:v>保持庄重清晰，情绪在克制下涌动；避免喊口号式扁平英雄腔</x:v>
      </x:c>
      <x:c r="M52" s="30" t="n">
        <x:v>5</x:v>
      </x:c>
      <x:c r="N52" s="30" t="n">
        <x:v>0</x:v>
      </x:c>
      <x:c r="O52" s="30" t="str">
        <x:v>不限</x:v>
      </x:c>
      <x:c r="P52" s="30" t="str">
        <x:v>不限</x:v>
      </x:c>
      <x:c r="Q52" s="30" t="str">
        <x:v>否</x:v>
      </x:c>
      <x:c r="R52" s="30" t="n">
        <x:v>10</x:v>
      </x:c>
      <x:c r="S52" s="30" t="str">
        <x:v>freedom</x:v>
      </x:c>
      <x:c r="T52" s="30" t="str">
        <x:v>wanderer</x:v>
      </x:c>
      <x:c r="U52" s="30" t="n">
        <x:v>3</x:v>
      </x:c>
      <x:c r="V52" s="36" t="str">
        <x:f>A52&amp;".wav"</x:f>
        <x:v>ION_IRELIA_FAREWELL.wav</x:v>
      </x:c>
      <x:c r="W52" s="36" t="str">
        <x:v>待审核</x:v>
      </x:c>
      <x:c r="X52" s="36" t="str"/>
      <x:c r="Y52" s="36" t="str">
        <x:v>https://universe.leagueoflegends.com/en_US/champion/irelia/</x:v>
      </x:c>
    </x:row>
    <x:row r="53" ht="68" customHeight="1">
      <x:c r="A53" s="24" t="str">
        <x:v>ION_IVERN_MEET</x:v>
      </x:c>
      <x:c r="B53" s="24" t="str">
        <x:v>ivern</x:v>
      </x:c>
      <x:c r="C53" s="24" t="str">
        <x:v>艾翁</x:v>
      </x:c>
      <x:c r="D53" s="24" t="str">
        <x:v>MEET</x:v>
      </x:c>
      <x:c r="E53" s="24" t="str">
        <x:v>初次相遇</x:v>
      </x:c>
      <x:c r="F53" s="24" t="str">
        <x:v>玩家第一次接近角色</x:v>
      </x:c>
      <x:c r="G53" s="24" t="str">
        <x:v>玩家</x:v>
      </x:c>
      <x:c r="H53" s="24" t="str">
        <x:v>审视</x:v>
      </x:c>
      <x:c r="I53" s="24" t="str">
        <x:v>中性</x:v>
      </x:c>
      <x:c r="J53" s="24" t="n">
        <x:v>2</x:v>
      </x:c>
      <x:c r="K53" s="30" t="str">
        <x:v>啊，一个会走路、会烦恼、还忘了向脚下小草问好的朋友。</x:v>
      </x:c>
      <x:c r="L53" s="30" t="str">
        <x:v>保持轻快、奇异、拟人化自然比喻；不可幼儿化或模仿特定喜剧声线</x:v>
      </x:c>
      <x:c r="M53" s="30" t="n">
        <x:v>4</x:v>
      </x:c>
      <x:c r="N53" s="30" t="n">
        <x:v>0</x:v>
      </x:c>
      <x:c r="O53" s="30" t="str">
        <x:v>不限</x:v>
      </x:c>
      <x:c r="P53" s="30" t="str">
        <x:v>不限</x:v>
      </x:c>
      <x:c r="Q53" s="30" t="str">
        <x:v>是</x:v>
      </x:c>
      <x:c r="R53" s="30" t="n">
        <x:v>10</x:v>
      </x:c>
      <x:c r="S53" s="30" t="str">
        <x:v>destiny</x:v>
      </x:c>
      <x:c r="T53" s="30" t="str">
        <x:v>breaker</x:v>
      </x:c>
      <x:c r="U53" s="30" t="n">
        <x:v>0</x:v>
      </x:c>
      <x:c r="V53" s="36" t="str">
        <x:f>A53&amp;".wav"</x:f>
        <x:v>ION_IVERN_MEET.wav</x:v>
      </x:c>
      <x:c r="W53" s="36" t="str">
        <x:v>待审核</x:v>
      </x:c>
      <x:c r="X53" s="36" t="str"/>
      <x:c r="Y53" s="36" t="str">
        <x:v>https://universe.leagueoflegends.com/en_US/champion/ivern/</x:v>
      </x:c>
    </x:row>
    <x:row r="54" ht="68" customHeight="1">
      <x:c r="A54" s="24" t="str">
        <x:v>ION_IVERN_GREET</x:v>
      </x:c>
      <x:c r="B54" s="24" t="str">
        <x:v>ivern</x:v>
      </x:c>
      <x:c r="C54" s="24" t="str">
        <x:v>艾翁</x:v>
      </x:c>
      <x:c r="D54" s="24" t="str">
        <x:v>GREET</x:v>
      </x:c>
      <x:c r="E54" s="24" t="str">
        <x:v>友好问候</x:v>
      </x:c>
      <x:c r="F54" s="24" t="str">
        <x:v>关系值达到友好后进入对话</x:v>
      </x:c>
      <x:c r="G54" s="24" t="str">
        <x:v>玩家</x:v>
      </x:c>
      <x:c r="H54" s="24" t="str">
        <x:v>友善</x:v>
      </x:c>
      <x:c r="I54" s="24" t="str">
        <x:v>喜悦</x:v>
      </x:c>
      <x:c r="J54" s="24" t="n">
        <x:v>2</x:v>
      </x:c>
      <x:c r="K54" s="30" t="str">
        <x:v>你又来了！这次我替橡果们准备了一个不太长的故事。</x:v>
      </x:c>
      <x:c r="L54" s="30" t="str">
        <x:v>保持轻快、奇异、拟人化自然比喻；不可幼儿化或模仿特定喜剧声线</x:v>
      </x:c>
      <x:c r="M54" s="30" t="n">
        <x:v>3</x:v>
      </x:c>
      <x:c r="N54" s="30" t="n">
        <x:v>10</x:v>
      </x:c>
      <x:c r="O54" s="30" t="str">
        <x:v>不限</x:v>
      </x:c>
      <x:c r="P54" s="30" t="str">
        <x:v>不限</x:v>
      </x:c>
      <x:c r="Q54" s="30" t="str">
        <x:v>否</x:v>
      </x:c>
      <x:c r="R54" s="30" t="n">
        <x:v>10</x:v>
      </x:c>
      <x:c r="S54" s="30" t="str">
        <x:v>peace</x:v>
      </x:c>
      <x:c r="T54" s="30" t="str">
        <x:v>guardian</x:v>
      </x:c>
      <x:c r="U54" s="30" t="n">
        <x:v>3</x:v>
      </x:c>
      <x:c r="V54" s="36" t="str">
        <x:f>A54&amp;".wav"</x:f>
        <x:v>ION_IVERN_GREET.wav</x:v>
      </x:c>
      <x:c r="W54" s="36" t="str">
        <x:v>待审核</x:v>
      </x:c>
      <x:c r="X54" s="36" t="str"/>
      <x:c r="Y54" s="36" t="str">
        <x:v>https://universe.leagueoflegends.com/en_US/champion/ivern/</x:v>
      </x:c>
    </x:row>
    <x:row r="55" ht="68" customHeight="1">
      <x:c r="A55" s="24" t="str">
        <x:v>ION_IVERN_WARN</x:v>
      </x:c>
      <x:c r="B55" s="24" t="str">
        <x:v>ivern</x:v>
      </x:c>
      <x:c r="C55" s="24" t="str">
        <x:v>艾翁</x:v>
      </x:c>
      <x:c r="D55" s="24" t="str">
        <x:v>WARN</x:v>
      </x:c>
      <x:c r="E55" s="24" t="str">
        <x:v>危险警告</x:v>
      </x:c>
      <x:c r="F55" s="24" t="str">
        <x:v>区域威胁或伏击即将发生</x:v>
      </x:c>
      <x:c r="G55" s="24" t="str">
        <x:v>玩家</x:v>
      </x:c>
      <x:c r="H55" s="24" t="str">
        <x:v>紧张</x:v>
      </x:c>
      <x:c r="I55" s="24" t="str">
        <x:v>警觉</x:v>
      </x:c>
      <x:c r="J55" s="24" t="n">
        <x:v>3</x:v>
      </x:c>
      <x:c r="K55" s="30" t="str">
        <x:v>嘘，树根正在传话。远处有人带着火和很坏的主意。</x:v>
      </x:c>
      <x:c r="L55" s="30" t="str">
        <x:v>保持轻快、奇异、拟人化自然比喻；不可幼儿化或模仿特定喜剧声线</x:v>
      </x:c>
      <x:c r="M55" s="30" t="n">
        <x:v>3</x:v>
      </x:c>
      <x:c r="N55" s="30" t="n">
        <x:v>0</x:v>
      </x:c>
      <x:c r="O55" s="30" t="str">
        <x:v>不限</x:v>
      </x:c>
      <x:c r="P55" s="30" t="str">
        <x:v>不限</x:v>
      </x:c>
      <x:c r="Q55" s="30" t="str">
        <x:v>否</x:v>
      </x:c>
      <x:c r="R55" s="30" t="n">
        <x:v>10</x:v>
      </x:c>
      <x:c r="S55" s="30" t="str">
        <x:v>destiny</x:v>
      </x:c>
      <x:c r="T55" s="30" t="str">
        <x:v>breaker</x:v>
      </x:c>
      <x:c r="U55" s="30" t="n">
        <x:v>3</x:v>
      </x:c>
      <x:c r="V55" s="36" t="str">
        <x:f>A55&amp;".wav"</x:f>
        <x:v>ION_IVERN_WARN.wav</x:v>
      </x:c>
      <x:c r="W55" s="36" t="str">
        <x:v>待审核</x:v>
      </x:c>
      <x:c r="X55" s="36" t="str"/>
      <x:c r="Y55" s="36" t="str">
        <x:v>https://universe.leagueoflegends.com/en_US/champion/ivern/</x:v>
      </x:c>
    </x:row>
    <x:row r="56" ht="68" customHeight="1">
      <x:c r="A56" s="24" t="str">
        <x:v>ION_IVERN_REFUSE</x:v>
      </x:c>
      <x:c r="B56" s="24" t="str">
        <x:v>ivern</x:v>
      </x:c>
      <x:c r="C56" s="24" t="str">
        <x:v>艾翁</x:v>
      </x:c>
      <x:c r="D56" s="24" t="str">
        <x:v>REFUSE</x:v>
      </x:c>
      <x:c r="E56" s="24" t="str">
        <x:v>拒绝请求</x:v>
      </x:c>
      <x:c r="F56" s="24" t="str">
        <x:v>玩家请求触碰角色底线</x:v>
      </x:c>
      <x:c r="G56" s="24" t="str">
        <x:v>玩家</x:v>
      </x:c>
      <x:c r="H56" s="24" t="str">
        <x:v>拒绝</x:v>
      </x:c>
      <x:c r="I56" s="24" t="str">
        <x:v>厌恶</x:v>
      </x:c>
      <x:c r="J56" s="24" t="n">
        <x:v>3</x:v>
      </x:c>
      <x:c r="K56" s="30" t="str">
        <x:v>不行，不行。把生命折断来证明力量，是最乏味的办法。</x:v>
      </x:c>
      <x:c r="L56" s="30" t="str">
        <x:v>保持轻快、奇异、拟人化自然比喻；不可幼儿化或模仿特定喜剧声线</x:v>
      </x:c>
      <x:c r="M56" s="30" t="n">
        <x:v>4</x:v>
      </x:c>
      <x:c r="N56" s="30" t="n">
        <x:v>-20</x:v>
      </x:c>
      <x:c r="O56" s="30" t="str">
        <x:v>不限</x:v>
      </x:c>
      <x:c r="P56" s="30" t="str">
        <x:v>不限</x:v>
      </x:c>
      <x:c r="Q56" s="30" t="str">
        <x:v>否</x:v>
      </x:c>
      <x:c r="R56" s="30" t="n">
        <x:v>10</x:v>
      </x:c>
      <x:c r="S56" s="30" t="str">
        <x:v>freedom</x:v>
      </x:c>
      <x:c r="T56" s="30" t="str">
        <x:v>wanderer</x:v>
      </x:c>
      <x:c r="U56" s="30" t="n">
        <x:v>3</x:v>
      </x:c>
      <x:c r="V56" s="36" t="str">
        <x:f>A56&amp;".wav"</x:f>
        <x:v>ION_IVERN_REFUSE.wav</x:v>
      </x:c>
      <x:c r="W56" s="36" t="str">
        <x:v>待审核</x:v>
      </x:c>
      <x:c r="X56" s="36" t="str"/>
      <x:c r="Y56" s="36" t="str">
        <x:v>https://universe.leagueoflegends.com/en_US/champion/ivern/</x:v>
      </x:c>
    </x:row>
    <x:row r="57" ht="68" customHeight="1">
      <x:c r="A57" s="24" t="str">
        <x:v>ION_IVERN_TRUST</x:v>
      </x:c>
      <x:c r="B57" s="24" t="str">
        <x:v>ivern</x:v>
      </x:c>
      <x:c r="C57" s="24" t="str">
        <x:v>艾翁</x:v>
      </x:c>
      <x:c r="D57" s="24" t="str">
        <x:v>TRUST</x:v>
      </x:c>
      <x:c r="E57" s="24" t="str">
        <x:v>建立信任</x:v>
      </x:c>
      <x:c r="F57" s="24" t="str">
        <x:v>玩家满足角色的信任条件</x:v>
      </x:c>
      <x:c r="G57" s="24" t="str">
        <x:v>玩家</x:v>
      </x:c>
      <x:c r="H57" s="24" t="str">
        <x:v>信任</x:v>
      </x:c>
      <x:c r="I57" s="24" t="str">
        <x:v>柔和</x:v>
      </x:c>
      <x:c r="J57" s="24" t="n">
        <x:v>3</x:v>
      </x:c>
      <x:c r="K57" s="30" t="str">
        <x:v>小苗说你可以信任。它通常比人更会看人。</x:v>
      </x:c>
      <x:c r="L57" s="30" t="str">
        <x:v>保持轻快、奇异、拟人化自然比喻；不可幼儿化或模仿特定喜剧声线</x:v>
      </x:c>
      <x:c r="M57" s="30" t="n">
        <x:v>5</x:v>
      </x:c>
      <x:c r="N57" s="30" t="n">
        <x:v>40</x:v>
      </x:c>
      <x:c r="O57" s="30" t="str">
        <x:v>不限</x:v>
      </x:c>
      <x:c r="P57" s="30" t="str">
        <x:v>不限</x:v>
      </x:c>
      <x:c r="Q57" s="30" t="str">
        <x:v>是</x:v>
      </x:c>
      <x:c r="R57" s="30" t="n">
        <x:v>10</x:v>
      </x:c>
      <x:c r="S57" s="30" t="str">
        <x:v>peace</x:v>
      </x:c>
      <x:c r="T57" s="30" t="str">
        <x:v>guardian</x:v>
      </x:c>
      <x:c r="U57" s="30" t="n">
        <x:v>0</x:v>
      </x:c>
      <x:c r="V57" s="36" t="str">
        <x:f>A57&amp;".wav"</x:f>
        <x:v>ION_IVERN_TRUST.wav</x:v>
      </x:c>
      <x:c r="W57" s="36" t="str">
        <x:v>待审核</x:v>
      </x:c>
      <x:c r="X57" s="36" t="str"/>
      <x:c r="Y57" s="36" t="str">
        <x:v>https://universe.leagueoflegends.com/en_US/champion/ivern/</x:v>
      </x:c>
    </x:row>
    <x:row r="58" ht="68" customHeight="1">
      <x:c r="A58" s="24" t="str">
        <x:v>ION_IVERN_ANGER</x:v>
      </x:c>
      <x:c r="B58" s="24" t="str">
        <x:v>ivern</x:v>
      </x:c>
      <x:c r="C58" s="24" t="str">
        <x:v>艾翁</x:v>
      </x:c>
      <x:c r="D58" s="24" t="str">
        <x:v>ANGER</x:v>
      </x:c>
      <x:c r="E58" s="24" t="str">
        <x:v>被激怒</x:v>
      </x:c>
      <x:c r="F58" s="24" t="str">
        <x:v>玩家触发角色主要怒点</x:v>
      </x:c>
      <x:c r="G58" s="24" t="str">
        <x:v>玩家</x:v>
      </x:c>
      <x:c r="H58" s="24" t="str">
        <x:v>愤怒</x:v>
      </x:c>
      <x:c r="I58" s="24" t="str">
        <x:v>受伤</x:v>
      </x:c>
      <x:c r="J58" s="24" t="n">
        <x:v>4</x:v>
      </x:c>
      <x:c r="K58" s="30" t="str">
        <x:v>那棵树花了八十年学会伸向阳光，你只用一斧就想让它闭嘴？</x:v>
      </x:c>
      <x:c r="L58" s="30" t="str">
        <x:v>保持轻快、奇异、拟人化自然比喻；不可幼儿化或模仿特定喜剧声线</x:v>
      </x:c>
      <x:c r="M58" s="30" t="n">
        <x:v>4</x:v>
      </x:c>
      <x:c r="N58" s="30" t="n">
        <x:v>-20</x:v>
      </x:c>
      <x:c r="O58" s="30" t="str">
        <x:v>不限</x:v>
      </x:c>
      <x:c r="P58" s="30" t="str">
        <x:v>不限</x:v>
      </x:c>
      <x:c r="Q58" s="30" t="str">
        <x:v>否</x:v>
      </x:c>
      <x:c r="R58" s="30" t="n">
        <x:v>10</x:v>
      </x:c>
      <x:c r="S58" s="30" t="str">
        <x:v>power</x:v>
      </x:c>
      <x:c r="T58" s="30" t="str">
        <x:v>strong</x:v>
      </x:c>
      <x:c r="U58" s="30" t="n">
        <x:v>3</x:v>
      </x:c>
      <x:c r="V58" s="36" t="str">
        <x:f>A58&amp;".wav"</x:f>
        <x:v>ION_IVERN_ANGER.wav</x:v>
      </x:c>
      <x:c r="W58" s="36" t="str">
        <x:v>待审核</x:v>
      </x:c>
      <x:c r="X58" s="36" t="str"/>
      <x:c r="Y58" s="36" t="str">
        <x:v>https://universe.leagueoflegends.com/en_US/champion/ivern/</x:v>
      </x:c>
    </x:row>
    <x:row r="59" ht="68" customHeight="1">
      <x:c r="A59" s="24" t="str">
        <x:v>ION_IVERN_HURT</x:v>
      </x:c>
      <x:c r="B59" s="24" t="str">
        <x:v>ivern</x:v>
      </x:c>
      <x:c r="C59" s="24" t="str">
        <x:v>艾翁</x:v>
      </x:c>
      <x:c r="D59" s="24" t="str">
        <x:v>HURT</x:v>
      </x:c>
      <x:c r="E59" s="24" t="str">
        <x:v>受伤反馈</x:v>
      </x:c>
      <x:c r="F59" s="24" t="str">
        <x:v>角色受到重击但仍可行动</x:v>
      </x:c>
      <x:c r="G59" s="24" t="str">
        <x:v>玩家</x:v>
      </x:c>
      <x:c r="H59" s="24" t="str">
        <x:v>痛苦</x:v>
      </x:c>
      <x:c r="I59" s="24" t="str">
        <x:v>坚持</x:v>
      </x:c>
      <x:c r="J59" s="24" t="n">
        <x:v>4</x:v>
      </x:c>
      <x:c r="K59" s="30" t="str">
        <x:v>这副树皮会再长好。倒是石头先生被吓得不轻。</x:v>
      </x:c>
      <x:c r="L59" s="30" t="str">
        <x:v>保持轻快、奇异、拟人化自然比喻；不可幼儿化或模仿特定喜剧声线</x:v>
      </x:c>
      <x:c r="M59" s="30" t="n">
        <x:v>2</x:v>
      </x:c>
      <x:c r="N59" s="30" t="n">
        <x:v>0</x:v>
      </x:c>
      <x:c r="O59" s="30" t="str">
        <x:v>不限</x:v>
      </x:c>
      <x:c r="P59" s="30" t="str">
        <x:v>不限</x:v>
      </x:c>
      <x:c r="Q59" s="30" t="str">
        <x:v>否</x:v>
      </x:c>
      <x:c r="R59" s="30" t="n">
        <x:v>10</x:v>
      </x:c>
      <x:c r="S59" s="30" t="str">
        <x:v>peace</x:v>
      </x:c>
      <x:c r="T59" s="30" t="str">
        <x:v>guardian</x:v>
      </x:c>
      <x:c r="U59" s="30" t="n">
        <x:v>3</x:v>
      </x:c>
      <x:c r="V59" s="36" t="str">
        <x:f>A59&amp;".wav"</x:f>
        <x:v>ION_IVERN_HURT.wav</x:v>
      </x:c>
      <x:c r="W59" s="36" t="str">
        <x:v>待审核</x:v>
      </x:c>
      <x:c r="X59" s="36" t="str"/>
      <x:c r="Y59" s="36" t="str">
        <x:v>https://universe.leagueoflegends.com/en_US/champion/ivern/</x:v>
      </x:c>
    </x:row>
    <x:row r="60" ht="68" customHeight="1">
      <x:c r="A60" s="24" t="str">
        <x:v>ION_IVERN_COMBAT</x:v>
      </x:c>
      <x:c r="B60" s="24" t="str">
        <x:v>ivern</x:v>
      </x:c>
      <x:c r="C60" s="24" t="str">
        <x:v>艾翁</x:v>
      </x:c>
      <x:c r="D60" s="24" t="str">
        <x:v>COMBAT</x:v>
      </x:c>
      <x:c r="E60" s="24" t="str">
        <x:v>战斗行动</x:v>
      </x:c>
      <x:c r="F60" s="24" t="str">
        <x:v>角色发动标志性行动</x:v>
      </x:c>
      <x:c r="G60" s="24" t="str">
        <x:v>玩家</x:v>
      </x:c>
      <x:c r="H60" s="24" t="str">
        <x:v>战意</x:v>
      </x:c>
      <x:c r="I60" s="24" t="str">
        <x:v>专注</x:v>
      </x:c>
      <x:c r="J60" s="24" t="n">
        <x:v>4</x:v>
      </x:c>
      <x:c r="K60" s="30" t="str">
        <x:v>黛西，轻一点！我们只是要让他们学会离开。</x:v>
      </x:c>
      <x:c r="L60" s="30" t="str">
        <x:v>保持轻快、奇异、拟人化自然比喻；不可幼儿化或模仿特定喜剧声线</x:v>
      </x:c>
      <x:c r="M60" s="30" t="n">
        <x:v>2</x:v>
      </x:c>
      <x:c r="N60" s="30" t="n">
        <x:v>0</x:v>
      </x:c>
      <x:c r="O60" s="30" t="str">
        <x:v>不限</x:v>
      </x:c>
      <x:c r="P60" s="30" t="str">
        <x:v>不限</x:v>
      </x:c>
      <x:c r="Q60" s="30" t="str">
        <x:v>否</x:v>
      </x:c>
      <x:c r="R60" s="30" t="n">
        <x:v>10</x:v>
      </x:c>
      <x:c r="S60" s="30" t="str">
        <x:v>power</x:v>
      </x:c>
      <x:c r="T60" s="30" t="str">
        <x:v>strong</x:v>
      </x:c>
      <x:c r="U60" s="30" t="n">
        <x:v>3</x:v>
      </x:c>
      <x:c r="V60" s="36" t="str">
        <x:f>A60&amp;".wav"</x:f>
        <x:v>ION_IVERN_COMBAT.wav</x:v>
      </x:c>
      <x:c r="W60" s="36" t="str">
        <x:v>待审核</x:v>
      </x:c>
      <x:c r="X60" s="36" t="str"/>
      <x:c r="Y60" s="36" t="str">
        <x:v>https://universe.leagueoflegends.com/en_US/champion/ivern/</x:v>
      </x:c>
    </x:row>
    <x:row r="61" ht="68" customHeight="1">
      <x:c r="A61" s="24" t="str">
        <x:v>ION_IVERN_VICTORY</x:v>
      </x:c>
      <x:c r="B61" s="24" t="str">
        <x:v>ivern</x:v>
      </x:c>
      <x:c r="C61" s="24" t="str">
        <x:v>艾翁</x:v>
      </x:c>
      <x:c r="D61" s="24" t="str">
        <x:v>VICTORY</x:v>
      </x:c>
      <x:c r="E61" s="24" t="str">
        <x:v>战斗胜利</x:v>
      </x:c>
      <x:c r="F61" s="24" t="str">
        <x:v>威胁解除并进入结算</x:v>
      </x:c>
      <x:c r="G61" s="24" t="str">
        <x:v>玩家</x:v>
      </x:c>
      <x:c r="H61" s="24" t="str">
        <x:v>释然</x:v>
      </x:c>
      <x:c r="I61" s="24" t="str">
        <x:v>克制喜悦</x:v>
      </x:c>
      <x:c r="J61" s="24" t="n">
        <x:v>3</x:v>
      </x:c>
      <x:c r="K61" s="30" t="str">
        <x:v>好了，大家都还在呼吸。今天是一场相当不错的胜利。</x:v>
      </x:c>
      <x:c r="L61" s="30" t="str">
        <x:v>保持轻快、奇异、拟人化自然比喻；不可幼儿化或模仿特定喜剧声线</x:v>
      </x:c>
      <x:c r="M61" s="30" t="n">
        <x:v>4</x:v>
      </x:c>
      <x:c r="N61" s="30" t="n">
        <x:v>0</x:v>
      </x:c>
      <x:c r="O61" s="30" t="str">
        <x:v>不限</x:v>
      </x:c>
      <x:c r="P61" s="30" t="str">
        <x:v>不限</x:v>
      </x:c>
      <x:c r="Q61" s="30" t="str">
        <x:v>否</x:v>
      </x:c>
      <x:c r="R61" s="30" t="n">
        <x:v>10</x:v>
      </x:c>
      <x:c r="S61" s="30" t="str">
        <x:v>destiny</x:v>
      </x:c>
      <x:c r="T61" s="30" t="str">
        <x:v>breaker</x:v>
      </x:c>
      <x:c r="U61" s="30" t="n">
        <x:v>3</x:v>
      </x:c>
      <x:c r="V61" s="36" t="str">
        <x:f>A61&amp;".wav"</x:f>
        <x:v>ION_IVERN_VICTORY.wav</x:v>
      </x:c>
      <x:c r="W61" s="36" t="str">
        <x:v>待审核</x:v>
      </x:c>
      <x:c r="X61" s="36" t="str"/>
      <x:c r="Y61" s="36" t="str">
        <x:v>https://universe.leagueoflegends.com/en_US/champion/ivern/</x:v>
      </x:c>
    </x:row>
    <x:row r="62" ht="68" customHeight="1">
      <x:c r="A62" s="24" t="str">
        <x:v>ION_IVERN_DEFEAT</x:v>
      </x:c>
      <x:c r="B62" s="24" t="str">
        <x:v>ivern</x:v>
      </x:c>
      <x:c r="C62" s="24" t="str">
        <x:v>艾翁</x:v>
      </x:c>
      <x:c r="D62" s="24" t="str">
        <x:v>DEFEAT</x:v>
      </x:c>
      <x:c r="E62" s="24" t="str">
        <x:v>失败撤退</x:v>
      </x:c>
      <x:c r="F62" s="24" t="str">
        <x:v>角色被迫撤离或计划失败</x:v>
      </x:c>
      <x:c r="G62" s="24" t="str">
        <x:v>玩家</x:v>
      </x:c>
      <x:c r="H62" s="24" t="str">
        <x:v>挫败</x:v>
      </x:c>
      <x:c r="I62" s="24" t="str">
        <x:v>反思</x:v>
      </x:c>
      <x:c r="J62" s="24" t="n">
        <x:v>4</x:v>
      </x:c>
      <x:c r="K62" s="30" t="str">
        <x:v>看来我们把事情弄得太响了。先带受伤的小家伙们走。</x:v>
      </x:c>
      <x:c r="L62" s="30" t="str">
        <x:v>保持轻快、奇异、拟人化自然比喻；不可幼儿化或模仿特定喜剧声线</x:v>
      </x:c>
      <x:c r="M62" s="30" t="n">
        <x:v>5</x:v>
      </x:c>
      <x:c r="N62" s="30" t="n">
        <x:v>0</x:v>
      </x:c>
      <x:c r="O62" s="30" t="str">
        <x:v>不限</x:v>
      </x:c>
      <x:c r="P62" s="30" t="str">
        <x:v>不限</x:v>
      </x:c>
      <x:c r="Q62" s="30" t="str">
        <x:v>否</x:v>
      </x:c>
      <x:c r="R62" s="30" t="n">
        <x:v>10</x:v>
      </x:c>
      <x:c r="S62" s="30" t="str">
        <x:v>spirit</x:v>
      </x:c>
      <x:c r="T62" s="30" t="str">
        <x:v>spirit_fate</x:v>
      </x:c>
      <x:c r="U62" s="30" t="n">
        <x:v>3</x:v>
      </x:c>
      <x:c r="V62" s="36" t="str">
        <x:f>A62&amp;".wav"</x:f>
        <x:v>ION_IVERN_DEFEAT.wav</x:v>
      </x:c>
      <x:c r="W62" s="36" t="str">
        <x:v>待审核</x:v>
      </x:c>
      <x:c r="X62" s="36" t="str"/>
      <x:c r="Y62" s="36" t="str">
        <x:v>https://universe.leagueoflegends.com/en_US/champion/ivern/</x:v>
      </x:c>
    </x:row>
    <x:row r="63" ht="68" customHeight="1">
      <x:c r="A63" s="24" t="str">
        <x:v>ION_IVERN_LORE</x:v>
      </x:c>
      <x:c r="B63" s="24" t="str">
        <x:v>ivern</x:v>
      </x:c>
      <x:c r="C63" s="24" t="str">
        <x:v>艾翁</x:v>
      </x:c>
      <x:c r="D63" s="24" t="str">
        <x:v>LORE</x:v>
      </x:c>
      <x:c r="E63" s="24" t="str">
        <x:v>世界观讲述</x:v>
      </x:c>
      <x:c r="F63" s="24" t="str">
        <x:v>玩家询问人物、地点或往事</x:v>
      </x:c>
      <x:c r="G63" s="24" t="str">
        <x:v>玩家</x:v>
      </x:c>
      <x:c r="H63" s="24" t="str">
        <x:v>叙述</x:v>
      </x:c>
      <x:c r="I63" s="24" t="str">
        <x:v>怀念</x:v>
      </x:c>
      <x:c r="J63" s="24" t="n">
        <x:v>2</x:v>
      </x:c>
      <x:c r="K63" s="30" t="str">
        <x:v>我曾以为世界之心是能被夺走的东西，后来它让我重新长了一遍。</x:v>
      </x:c>
      <x:c r="L63" s="30" t="str">
        <x:v>保持轻快、奇异、拟人化自然比喻；不可幼儿化或模仿特定喜剧声线</x:v>
      </x:c>
      <x:c r="M63" s="30" t="n">
        <x:v>8</x:v>
      </x:c>
      <x:c r="N63" s="30" t="n">
        <x:v>0</x:v>
      </x:c>
      <x:c r="O63" s="30" t="str">
        <x:v>不限</x:v>
      </x:c>
      <x:c r="P63" s="30" t="str">
        <x:v>不限</x:v>
      </x:c>
      <x:c r="Q63" s="30" t="str">
        <x:v>是</x:v>
      </x:c>
      <x:c r="R63" s="30" t="n">
        <x:v>10</x:v>
      </x:c>
      <x:c r="S63" s="30" t="str">
        <x:v>spirit</x:v>
      </x:c>
      <x:c r="T63" s="30" t="str">
        <x:v>spirit_fate</x:v>
      </x:c>
      <x:c r="U63" s="30" t="n">
        <x:v>0</x:v>
      </x:c>
      <x:c r="V63" s="36" t="str">
        <x:f>A63&amp;".wav"</x:f>
        <x:v>ION_IVERN_LORE.wav</x:v>
      </x:c>
      <x:c r="W63" s="36" t="str">
        <x:v>待审核</x:v>
      </x:c>
      <x:c r="X63" s="36" t="str"/>
      <x:c r="Y63" s="36" t="str">
        <x:v>https://universe.leagueoflegends.com/en_US/champion/ivern/</x:v>
      </x:c>
    </x:row>
    <x:row r="64" ht="68" customHeight="1">
      <x:c r="A64" s="24" t="str">
        <x:v>ION_IVERN_FAREWELL</x:v>
      </x:c>
      <x:c r="B64" s="24" t="str">
        <x:v>ivern</x:v>
      </x:c>
      <x:c r="C64" s="24" t="str">
        <x:v>艾翁</x:v>
      </x:c>
      <x:c r="D64" s="24" t="str">
        <x:v>FAREWELL</x:v>
      </x:c>
      <x:c r="E64" s="24" t="str">
        <x:v>阶段告别</x:v>
      </x:c>
      <x:c r="F64" s="24" t="str">
        <x:v>事件结束或角色离开队伍</x:v>
      </x:c>
      <x:c r="G64" s="24" t="str">
        <x:v>玩家</x:v>
      </x:c>
      <x:c r="H64" s="24" t="str">
        <x:v>告别</x:v>
      </x:c>
      <x:c r="I64" s="24" t="str">
        <x:v>复杂</x:v>
      </x:c>
      <x:c r="J64" s="24" t="n">
        <x:v>3</x:v>
      </x:c>
      <x:c r="K64" s="30" t="str">
        <x:v>去吧。路边的花会替我看看你有没有好好吃饭。</x:v>
      </x:c>
      <x:c r="L64" s="30" t="str">
        <x:v>保持轻快、奇异、拟人化自然比喻；不可幼儿化或模仿特定喜剧声线</x:v>
      </x:c>
      <x:c r="M64" s="30" t="n">
        <x:v>5</x:v>
      </x:c>
      <x:c r="N64" s="30" t="n">
        <x:v>0</x:v>
      </x:c>
      <x:c r="O64" s="30" t="str">
        <x:v>不限</x:v>
      </x:c>
      <x:c r="P64" s="30" t="str">
        <x:v>不限</x:v>
      </x:c>
      <x:c r="Q64" s="30" t="str">
        <x:v>否</x:v>
      </x:c>
      <x:c r="R64" s="30" t="n">
        <x:v>10</x:v>
      </x:c>
      <x:c r="S64" s="30" t="str">
        <x:v>freedom</x:v>
      </x:c>
      <x:c r="T64" s="30" t="str">
        <x:v>wanderer</x:v>
      </x:c>
      <x:c r="U64" s="30" t="n">
        <x:v>3</x:v>
      </x:c>
      <x:c r="V64" s="36" t="str">
        <x:f>A64&amp;".wav"</x:f>
        <x:v>ION_IVERN_FAREWELL.wav</x:v>
      </x:c>
      <x:c r="W64" s="36" t="str">
        <x:v>待审核</x:v>
      </x:c>
      <x:c r="X64" s="36" t="str"/>
      <x:c r="Y64" s="36" t="str">
        <x:v>https://universe.leagueoflegends.com/en_US/champion/ivern/</x:v>
      </x:c>
    </x:row>
    <x:row r="65" ht="68" customHeight="1">
      <x:c r="A65" s="24" t="str">
        <x:v>ION_JHIN_MEET</x:v>
      </x:c>
      <x:c r="B65" s="24" t="str">
        <x:v>jhin</x:v>
      </x:c>
      <x:c r="C65" s="24" t="str">
        <x:v>烬</x:v>
      </x:c>
      <x:c r="D65" s="24" t="str">
        <x:v>MEET</x:v>
      </x:c>
      <x:c r="E65" s="24" t="str">
        <x:v>初次相遇</x:v>
      </x:c>
      <x:c r="F65" s="24" t="str">
        <x:v>玩家第一次接近角色</x:v>
      </x:c>
      <x:c r="G65" s="24" t="str">
        <x:v>玩家</x:v>
      </x:c>
      <x:c r="H65" s="24" t="str">
        <x:v>审视</x:v>
      </x:c>
      <x:c r="I65" s="24" t="str">
        <x:v>中性</x:v>
      </x:c>
      <x:c r="J65" s="24" t="n">
        <x:v>2</x:v>
      </x:c>
      <x:c r="K65" s="30" t="str">
        <x:v>别动。你刚才站的位置，恰好完成了这幅构图。</x:v>
      </x:c>
      <x:c r="L65" s="30" t="str">
        <x:v>保持讲究节拍、停顿与舞台术语；不可美化杀戮，不模仿官方表演细节</x:v>
      </x:c>
      <x:c r="M65" s="30" t="n">
        <x:v>4</x:v>
      </x:c>
      <x:c r="N65" s="30" t="n">
        <x:v>0</x:v>
      </x:c>
      <x:c r="O65" s="30" t="str">
        <x:v>不限</x:v>
      </x:c>
      <x:c r="P65" s="30" t="str">
        <x:v>不限</x:v>
      </x:c>
      <x:c r="Q65" s="30" t="str">
        <x:v>是</x:v>
      </x:c>
      <x:c r="R65" s="30" t="n">
        <x:v>10</x:v>
      </x:c>
      <x:c r="S65" s="30" t="str">
        <x:v>destiny</x:v>
      </x:c>
      <x:c r="T65" s="30" t="str">
        <x:v>breaker</x:v>
      </x:c>
      <x:c r="U65" s="30" t="n">
        <x:v>0</x:v>
      </x:c>
      <x:c r="V65" s="36" t="str">
        <x:f>A65&amp;".wav"</x:f>
        <x:v>ION_JHIN_MEET.wav</x:v>
      </x:c>
      <x:c r="W65" s="36" t="str">
        <x:v>待审核</x:v>
      </x:c>
      <x:c r="X65" s="36" t="str"/>
      <x:c r="Y65" s="36" t="str">
        <x:v>https://universe.leagueoflegends.com/en_US/champion/jhin/</x:v>
      </x:c>
    </x:row>
    <x:row r="66" ht="68" customHeight="1">
      <x:c r="A66" s="24" t="str">
        <x:v>ION_JHIN_GREET</x:v>
      </x:c>
      <x:c r="B66" s="24" t="str">
        <x:v>jhin</x:v>
      </x:c>
      <x:c r="C66" s="24" t="str">
        <x:v>烬</x:v>
      </x:c>
      <x:c r="D66" s="24" t="str">
        <x:v>GREET</x:v>
      </x:c>
      <x:c r="E66" s="24" t="str">
        <x:v>友好问候</x:v>
      </x:c>
      <x:c r="F66" s="24" t="str">
        <x:v>关系值达到友好后进入对话</x:v>
      </x:c>
      <x:c r="G66" s="24" t="str">
        <x:v>玩家</x:v>
      </x:c>
      <x:c r="H66" s="24" t="str">
        <x:v>友善</x:v>
      </x:c>
      <x:c r="I66" s="24" t="str">
        <x:v>喜悦</x:v>
      </x:c>
      <x:c r="J66" s="24" t="n">
        <x:v>2</x:v>
      </x:c>
      <x:c r="K66" s="30" t="str">
        <x:v>准时抵达是一种礼貌，而你今天表现得像个合格的观众。</x:v>
      </x:c>
      <x:c r="L66" s="30" t="str">
        <x:v>保持讲究节拍、停顿与舞台术语；不可美化杀戮，不模仿官方表演细节</x:v>
      </x:c>
      <x:c r="M66" s="30" t="n">
        <x:v>3</x:v>
      </x:c>
      <x:c r="N66" s="30" t="n">
        <x:v>10</x:v>
      </x:c>
      <x:c r="O66" s="30" t="str">
        <x:v>不限</x:v>
      </x:c>
      <x:c r="P66" s="30" t="str">
        <x:v>不限</x:v>
      </x:c>
      <x:c r="Q66" s="30" t="str">
        <x:v>否</x:v>
      </x:c>
      <x:c r="R66" s="30" t="n">
        <x:v>10</x:v>
      </x:c>
      <x:c r="S66" s="30" t="str">
        <x:v>peace</x:v>
      </x:c>
      <x:c r="T66" s="30" t="str">
        <x:v>guardian</x:v>
      </x:c>
      <x:c r="U66" s="30" t="n">
        <x:v>3</x:v>
      </x:c>
      <x:c r="V66" s="36" t="str">
        <x:f>A66&amp;".wav"</x:f>
        <x:v>ION_JHIN_GREET.wav</x:v>
      </x:c>
      <x:c r="W66" s="36" t="str">
        <x:v>待审核</x:v>
      </x:c>
      <x:c r="X66" s="36" t="str"/>
      <x:c r="Y66" s="36" t="str">
        <x:v>https://universe.leagueoflegends.com/en_US/champion/jhin/</x:v>
      </x:c>
    </x:row>
    <x:row r="67" ht="68" customHeight="1">
      <x:c r="A67" s="24" t="str">
        <x:v>ION_JHIN_WARN</x:v>
      </x:c>
      <x:c r="B67" s="24" t="str">
        <x:v>jhin</x:v>
      </x:c>
      <x:c r="C67" s="24" t="str">
        <x:v>烬</x:v>
      </x:c>
      <x:c r="D67" s="24" t="str">
        <x:v>WARN</x:v>
      </x:c>
      <x:c r="E67" s="24" t="str">
        <x:v>危险警告</x:v>
      </x:c>
      <x:c r="F67" s="24" t="str">
        <x:v>区域威胁或伏击即将发生</x:v>
      </x:c>
      <x:c r="G67" s="24" t="str">
        <x:v>玩家</x:v>
      </x:c>
      <x:c r="H67" s="24" t="str">
        <x:v>紧张</x:v>
      </x:c>
      <x:c r="I67" s="24" t="str">
        <x:v>警觉</x:v>
      </x:c>
      <x:c r="J67" s="24" t="n">
        <x:v>3</x:v>
      </x:c>
      <x:c r="K67" s="30" t="str">
        <x:v>幕布后有人破坏节奏。真令人扫兴。</x:v>
      </x:c>
      <x:c r="L67" s="30" t="str">
        <x:v>保持讲究节拍、停顿与舞台术语；不可美化杀戮，不模仿官方表演细节</x:v>
      </x:c>
      <x:c r="M67" s="30" t="n">
        <x:v>3</x:v>
      </x:c>
      <x:c r="N67" s="30" t="n">
        <x:v>0</x:v>
      </x:c>
      <x:c r="O67" s="30" t="str">
        <x:v>不限</x:v>
      </x:c>
      <x:c r="P67" s="30" t="str">
        <x:v>不限</x:v>
      </x:c>
      <x:c r="Q67" s="30" t="str">
        <x:v>否</x:v>
      </x:c>
      <x:c r="R67" s="30" t="n">
        <x:v>10</x:v>
      </x:c>
      <x:c r="S67" s="30" t="str">
        <x:v>destiny</x:v>
      </x:c>
      <x:c r="T67" s="30" t="str">
        <x:v>breaker</x:v>
      </x:c>
      <x:c r="U67" s="30" t="n">
        <x:v>3</x:v>
      </x:c>
      <x:c r="V67" s="36" t="str">
        <x:f>A67&amp;".wav"</x:f>
        <x:v>ION_JHIN_WARN.wav</x:v>
      </x:c>
      <x:c r="W67" s="36" t="str">
        <x:v>待审核</x:v>
      </x:c>
      <x:c r="X67" s="36" t="str"/>
      <x:c r="Y67" s="36" t="str">
        <x:v>https://universe.leagueoflegends.com/en_US/champion/jhin/</x:v>
      </x:c>
    </x:row>
    <x:row r="68" ht="68" customHeight="1">
      <x:c r="A68" s="24" t="str">
        <x:v>ION_JHIN_REFUSE</x:v>
      </x:c>
      <x:c r="B68" s="24" t="str">
        <x:v>jhin</x:v>
      </x:c>
      <x:c r="C68" s="24" t="str">
        <x:v>烬</x:v>
      </x:c>
      <x:c r="D68" s="24" t="str">
        <x:v>REFUSE</x:v>
      </x:c>
      <x:c r="E68" s="24" t="str">
        <x:v>拒绝请求</x:v>
      </x:c>
      <x:c r="F68" s="24" t="str">
        <x:v>玩家请求触碰角色底线</x:v>
      </x:c>
      <x:c r="G68" s="24" t="str">
        <x:v>玩家</x:v>
      </x:c>
      <x:c r="H68" s="24" t="str">
        <x:v>拒绝</x:v>
      </x:c>
      <x:c r="I68" s="24" t="str">
        <x:v>厌恶</x:v>
      </x:c>
      <x:c r="J68" s="24" t="n">
        <x:v>3</x:v>
      </x:c>
      <x:c r="K68" s="30" t="str">
        <x:v>不，这场演出缺少必要的美感，我拒绝让它登台。</x:v>
      </x:c>
      <x:c r="L68" s="30" t="str">
        <x:v>保持讲究节拍、停顿与舞台术语；不可美化杀戮，不模仿官方表演细节</x:v>
      </x:c>
      <x:c r="M68" s="30" t="n">
        <x:v>4</x:v>
      </x:c>
      <x:c r="N68" s="30" t="n">
        <x:v>-20</x:v>
      </x:c>
      <x:c r="O68" s="30" t="str">
        <x:v>不限</x:v>
      </x:c>
      <x:c r="P68" s="30" t="str">
        <x:v>不限</x:v>
      </x:c>
      <x:c r="Q68" s="30" t="str">
        <x:v>否</x:v>
      </x:c>
      <x:c r="R68" s="30" t="n">
        <x:v>10</x:v>
      </x:c>
      <x:c r="S68" s="30" t="str">
        <x:v>freedom</x:v>
      </x:c>
      <x:c r="T68" s="30" t="str">
        <x:v>wanderer</x:v>
      </x:c>
      <x:c r="U68" s="30" t="n">
        <x:v>3</x:v>
      </x:c>
      <x:c r="V68" s="36" t="str">
        <x:f>A68&amp;".wav"</x:f>
        <x:v>ION_JHIN_REFUSE.wav</x:v>
      </x:c>
      <x:c r="W68" s="36" t="str">
        <x:v>待审核</x:v>
      </x:c>
      <x:c r="X68" s="36" t="str"/>
      <x:c r="Y68" s="36" t="str">
        <x:v>https://universe.leagueoflegends.com/en_US/champion/jhin/</x:v>
      </x:c>
    </x:row>
    <x:row r="69" ht="68" customHeight="1">
      <x:c r="A69" s="24" t="str">
        <x:v>ION_JHIN_TRUST</x:v>
      </x:c>
      <x:c r="B69" s="24" t="str">
        <x:v>jhin</x:v>
      </x:c>
      <x:c r="C69" s="24" t="str">
        <x:v>烬</x:v>
      </x:c>
      <x:c r="D69" s="24" t="str">
        <x:v>TRUST</x:v>
      </x:c>
      <x:c r="E69" s="24" t="str">
        <x:v>建立信任</x:v>
      </x:c>
      <x:c r="F69" s="24" t="str">
        <x:v>玩家满足角色的信任条件</x:v>
      </x:c>
      <x:c r="G69" s="24" t="str">
        <x:v>玩家</x:v>
      </x:c>
      <x:c r="H69" s="24" t="str">
        <x:v>信任</x:v>
      </x:c>
      <x:c r="I69" s="24" t="str">
        <x:v>柔和</x:v>
      </x:c>
      <x:c r="J69" s="24" t="n">
        <x:v>3</x:v>
      </x:c>
      <x:c r="K69" s="30" t="str">
        <x:v>我允许你看见后台。不要误以为这等同于安全。</x:v>
      </x:c>
      <x:c r="L69" s="30" t="str">
        <x:v>保持讲究节拍、停顿与舞台术语；不可美化杀戮，不模仿官方表演细节</x:v>
      </x:c>
      <x:c r="M69" s="30" t="n">
        <x:v>5</x:v>
      </x:c>
      <x:c r="N69" s="30" t="n">
        <x:v>40</x:v>
      </x:c>
      <x:c r="O69" s="30" t="str">
        <x:v>不限</x:v>
      </x:c>
      <x:c r="P69" s="30" t="str">
        <x:v>不限</x:v>
      </x:c>
      <x:c r="Q69" s="30" t="str">
        <x:v>是</x:v>
      </x:c>
      <x:c r="R69" s="30" t="n">
        <x:v>10</x:v>
      </x:c>
      <x:c r="S69" s="30" t="str">
        <x:v>peace</x:v>
      </x:c>
      <x:c r="T69" s="30" t="str">
        <x:v>guardian</x:v>
      </x:c>
      <x:c r="U69" s="30" t="n">
        <x:v>0</x:v>
      </x:c>
      <x:c r="V69" s="36" t="str">
        <x:f>A69&amp;".wav"</x:f>
        <x:v>ION_JHIN_TRUST.wav</x:v>
      </x:c>
      <x:c r="W69" s="36" t="str">
        <x:v>待审核</x:v>
      </x:c>
      <x:c r="X69" s="36" t="str"/>
      <x:c r="Y69" s="36" t="str">
        <x:v>https://universe.leagueoflegends.com/en_US/champion/jhin/</x:v>
      </x:c>
    </x:row>
    <x:row r="70" ht="68" customHeight="1">
      <x:c r="A70" s="24" t="str">
        <x:v>ION_JHIN_ANGER</x:v>
      </x:c>
      <x:c r="B70" s="24" t="str">
        <x:v>jhin</x:v>
      </x:c>
      <x:c r="C70" s="24" t="str">
        <x:v>烬</x:v>
      </x:c>
      <x:c r="D70" s="24" t="str">
        <x:v>ANGER</x:v>
      </x:c>
      <x:c r="E70" s="24" t="str">
        <x:v>被激怒</x:v>
      </x:c>
      <x:c r="F70" s="24" t="str">
        <x:v>玩家触发角色主要怒点</x:v>
      </x:c>
      <x:c r="G70" s="24" t="str">
        <x:v>玩家</x:v>
      </x:c>
      <x:c r="H70" s="24" t="str">
        <x:v>愤怒</x:v>
      </x:c>
      <x:c r="I70" s="24" t="str">
        <x:v>受伤</x:v>
      </x:c>
      <x:c r="J70" s="24" t="n">
        <x:v>4</x:v>
      </x:c>
      <x:c r="K70" s="30" t="str">
        <x:v>你毁掉的不是计划，是一个本应完美的瞬间。</x:v>
      </x:c>
      <x:c r="L70" s="30" t="str">
        <x:v>保持讲究节拍、停顿与舞台术语；不可美化杀戮，不模仿官方表演细节</x:v>
      </x:c>
      <x:c r="M70" s="30" t="n">
        <x:v>4</x:v>
      </x:c>
      <x:c r="N70" s="30" t="n">
        <x:v>-20</x:v>
      </x:c>
      <x:c r="O70" s="30" t="str">
        <x:v>不限</x:v>
      </x:c>
      <x:c r="P70" s="30" t="str">
        <x:v>不限</x:v>
      </x:c>
      <x:c r="Q70" s="30" t="str">
        <x:v>否</x:v>
      </x:c>
      <x:c r="R70" s="30" t="n">
        <x:v>10</x:v>
      </x:c>
      <x:c r="S70" s="30" t="str">
        <x:v>power</x:v>
      </x:c>
      <x:c r="T70" s="30" t="str">
        <x:v>strong</x:v>
      </x:c>
      <x:c r="U70" s="30" t="n">
        <x:v>3</x:v>
      </x:c>
      <x:c r="V70" s="36" t="str">
        <x:f>A70&amp;".wav"</x:f>
        <x:v>ION_JHIN_ANGER.wav</x:v>
      </x:c>
      <x:c r="W70" s="36" t="str">
        <x:v>待审核</x:v>
      </x:c>
      <x:c r="X70" s="36" t="str"/>
      <x:c r="Y70" s="36" t="str">
        <x:v>https://universe.leagueoflegends.com/en_US/champion/jhin/</x:v>
      </x:c>
    </x:row>
    <x:row r="71" ht="68" customHeight="1">
      <x:c r="A71" s="24" t="str">
        <x:v>ION_JHIN_HURT</x:v>
      </x:c>
      <x:c r="B71" s="24" t="str">
        <x:v>jhin</x:v>
      </x:c>
      <x:c r="C71" s="24" t="str">
        <x:v>烬</x:v>
      </x:c>
      <x:c r="D71" s="24" t="str">
        <x:v>HURT</x:v>
      </x:c>
      <x:c r="E71" s="24" t="str">
        <x:v>受伤反馈</x:v>
      </x:c>
      <x:c r="F71" s="24" t="str">
        <x:v>角色受到重击但仍可行动</x:v>
      </x:c>
      <x:c r="G71" s="24" t="str">
        <x:v>玩家</x:v>
      </x:c>
      <x:c r="H71" s="24" t="str">
        <x:v>痛苦</x:v>
      </x:c>
      <x:c r="I71" s="24" t="str">
        <x:v>坚持</x:v>
      </x:c>
      <x:c r="J71" s="24" t="n">
        <x:v>4</x:v>
      </x:c>
      <x:c r="K71" s="30" t="str">
        <x:v>疼痛只是掌声来得太近。演出仍要继续。</x:v>
      </x:c>
      <x:c r="L71" s="30" t="str">
        <x:v>保持讲究节拍、停顿与舞台术语；不可美化杀戮，不模仿官方表演细节</x:v>
      </x:c>
      <x:c r="M71" s="30" t="n">
        <x:v>2</x:v>
      </x:c>
      <x:c r="N71" s="30" t="n">
        <x:v>0</x:v>
      </x:c>
      <x:c r="O71" s="30" t="str">
        <x:v>不限</x:v>
      </x:c>
      <x:c r="P71" s="30" t="str">
        <x:v>不限</x:v>
      </x:c>
      <x:c r="Q71" s="30" t="str">
        <x:v>否</x:v>
      </x:c>
      <x:c r="R71" s="30" t="n">
        <x:v>10</x:v>
      </x:c>
      <x:c r="S71" s="30" t="str">
        <x:v>peace</x:v>
      </x:c>
      <x:c r="T71" s="30" t="str">
        <x:v>guardian</x:v>
      </x:c>
      <x:c r="U71" s="30" t="n">
        <x:v>3</x:v>
      </x:c>
      <x:c r="V71" s="36" t="str">
        <x:f>A71&amp;".wav"</x:f>
        <x:v>ION_JHIN_HURT.wav</x:v>
      </x:c>
      <x:c r="W71" s="36" t="str">
        <x:v>待审核</x:v>
      </x:c>
      <x:c r="X71" s="36" t="str"/>
      <x:c r="Y71" s="36" t="str">
        <x:v>https://universe.leagueoflegends.com/en_US/champion/jhin/</x:v>
      </x:c>
    </x:row>
    <x:row r="72" ht="68" customHeight="1">
      <x:c r="A72" s="24" t="str">
        <x:v>ION_JHIN_COMBAT</x:v>
      </x:c>
      <x:c r="B72" s="24" t="str">
        <x:v>jhin</x:v>
      </x:c>
      <x:c r="C72" s="24" t="str">
        <x:v>烬</x:v>
      </x:c>
      <x:c r="D72" s="24" t="str">
        <x:v>COMBAT</x:v>
      </x:c>
      <x:c r="E72" s="24" t="str">
        <x:v>战斗行动</x:v>
      </x:c>
      <x:c r="F72" s="24" t="str">
        <x:v>角色发动标志性行动</x:v>
      </x:c>
      <x:c r="G72" s="24" t="str">
        <x:v>玩家</x:v>
      </x:c>
      <x:c r="H72" s="24" t="str">
        <x:v>战意</x:v>
      </x:c>
      <x:c r="I72" s="24" t="str">
        <x:v>专注</x:v>
      </x:c>
      <x:c r="J72" s="24" t="n">
        <x:v>4</x:v>
      </x:c>
      <x:c r="K72" s="30" t="str">
        <x:v>灯光、呼吸、落点——现在，请保持安静。</x:v>
      </x:c>
      <x:c r="L72" s="30" t="str">
        <x:v>保持讲究节拍、停顿与舞台术语；不可美化杀戮，不模仿官方表演细节</x:v>
      </x:c>
      <x:c r="M72" s="30" t="n">
        <x:v>2</x:v>
      </x:c>
      <x:c r="N72" s="30" t="n">
        <x:v>0</x:v>
      </x:c>
      <x:c r="O72" s="30" t="str">
        <x:v>不限</x:v>
      </x:c>
      <x:c r="P72" s="30" t="str">
        <x:v>不限</x:v>
      </x:c>
      <x:c r="Q72" s="30" t="str">
        <x:v>否</x:v>
      </x:c>
      <x:c r="R72" s="30" t="n">
        <x:v>10</x:v>
      </x:c>
      <x:c r="S72" s="30" t="str">
        <x:v>power</x:v>
      </x:c>
      <x:c r="T72" s="30" t="str">
        <x:v>strong</x:v>
      </x:c>
      <x:c r="U72" s="30" t="n">
        <x:v>3</x:v>
      </x:c>
      <x:c r="V72" s="36" t="str">
        <x:f>A72&amp;".wav"</x:f>
        <x:v>ION_JHIN_COMBAT.wav</x:v>
      </x:c>
      <x:c r="W72" s="36" t="str">
        <x:v>待审核</x:v>
      </x:c>
      <x:c r="X72" s="36" t="str"/>
      <x:c r="Y72" s="36" t="str">
        <x:v>https://universe.leagueoflegends.com/en_US/champion/jhin/</x:v>
      </x:c>
    </x:row>
    <x:row r="73" ht="68" customHeight="1">
      <x:c r="A73" s="24" t="str">
        <x:v>ION_JHIN_VICTORY</x:v>
      </x:c>
      <x:c r="B73" s="24" t="str">
        <x:v>jhin</x:v>
      </x:c>
      <x:c r="C73" s="24" t="str">
        <x:v>烬</x:v>
      </x:c>
      <x:c r="D73" s="24" t="str">
        <x:v>VICTORY</x:v>
      </x:c>
      <x:c r="E73" s="24" t="str">
        <x:v>战斗胜利</x:v>
      </x:c>
      <x:c r="F73" s="24" t="str">
        <x:v>威胁解除并进入结算</x:v>
      </x:c>
      <x:c r="G73" s="24" t="str">
        <x:v>玩家</x:v>
      </x:c>
      <x:c r="H73" s="24" t="str">
        <x:v>释然</x:v>
      </x:c>
      <x:c r="I73" s="24" t="str">
        <x:v>克制喜悦</x:v>
      </x:c>
      <x:c r="J73" s="24" t="n">
        <x:v>3</x:v>
      </x:c>
      <x:c r="K73" s="30" t="str">
        <x:v>谢幕不需要欢呼，沉默已经说明了一切。</x:v>
      </x:c>
      <x:c r="L73" s="30" t="str">
        <x:v>保持讲究节拍、停顿与舞台术语；不可美化杀戮，不模仿官方表演细节</x:v>
      </x:c>
      <x:c r="M73" s="30" t="n">
        <x:v>4</x:v>
      </x:c>
      <x:c r="N73" s="30" t="n">
        <x:v>0</x:v>
      </x:c>
      <x:c r="O73" s="30" t="str">
        <x:v>不限</x:v>
      </x:c>
      <x:c r="P73" s="30" t="str">
        <x:v>不限</x:v>
      </x:c>
      <x:c r="Q73" s="30" t="str">
        <x:v>否</x:v>
      </x:c>
      <x:c r="R73" s="30" t="n">
        <x:v>10</x:v>
      </x:c>
      <x:c r="S73" s="30" t="str">
        <x:v>destiny</x:v>
      </x:c>
      <x:c r="T73" s="30" t="str">
        <x:v>breaker</x:v>
      </x:c>
      <x:c r="U73" s="30" t="n">
        <x:v>3</x:v>
      </x:c>
      <x:c r="V73" s="36" t="str">
        <x:f>A73&amp;".wav"</x:f>
        <x:v>ION_JHIN_VICTORY.wav</x:v>
      </x:c>
      <x:c r="W73" s="36" t="str">
        <x:v>待审核</x:v>
      </x:c>
      <x:c r="X73" s="36" t="str"/>
      <x:c r="Y73" s="36" t="str">
        <x:v>https://universe.leagueoflegends.com/en_US/champion/jhin/</x:v>
      </x:c>
    </x:row>
    <x:row r="74" ht="68" customHeight="1">
      <x:c r="A74" s="24" t="str">
        <x:v>ION_JHIN_DEFEAT</x:v>
      </x:c>
      <x:c r="B74" s="24" t="str">
        <x:v>jhin</x:v>
      </x:c>
      <x:c r="C74" s="24" t="str">
        <x:v>烬</x:v>
      </x:c>
      <x:c r="D74" s="24" t="str">
        <x:v>DEFEAT</x:v>
      </x:c>
      <x:c r="E74" s="24" t="str">
        <x:v>失败撤退</x:v>
      </x:c>
      <x:c r="F74" s="24" t="str">
        <x:v>角色被迫撤离或计划失败</x:v>
      </x:c>
      <x:c r="G74" s="24" t="str">
        <x:v>玩家</x:v>
      </x:c>
      <x:c r="H74" s="24" t="str">
        <x:v>挫败</x:v>
      </x:c>
      <x:c r="I74" s="24" t="str">
        <x:v>反思</x:v>
      </x:c>
      <x:c r="J74" s="24" t="n">
        <x:v>4</x:v>
      </x:c>
      <x:c r="K74" s="30" t="str">
        <x:v>这一幕失败了。粗糙、拥挤，而且毫无余韵。</x:v>
      </x:c>
      <x:c r="L74" s="30" t="str">
        <x:v>保持讲究节拍、停顿与舞台术语；不可美化杀戮，不模仿官方表演细节</x:v>
      </x:c>
      <x:c r="M74" s="30" t="n">
        <x:v>5</x:v>
      </x:c>
      <x:c r="N74" s="30" t="n">
        <x:v>0</x:v>
      </x:c>
      <x:c r="O74" s="30" t="str">
        <x:v>不限</x:v>
      </x:c>
      <x:c r="P74" s="30" t="str">
        <x:v>不限</x:v>
      </x:c>
      <x:c r="Q74" s="30" t="str">
        <x:v>否</x:v>
      </x:c>
      <x:c r="R74" s="30" t="n">
        <x:v>10</x:v>
      </x:c>
      <x:c r="S74" s="30" t="str">
        <x:v>spirit</x:v>
      </x:c>
      <x:c r="T74" s="30" t="str">
        <x:v>spirit_fate</x:v>
      </x:c>
      <x:c r="U74" s="30" t="n">
        <x:v>3</x:v>
      </x:c>
      <x:c r="V74" s="36" t="str">
        <x:f>A74&amp;".wav"</x:f>
        <x:v>ION_JHIN_DEFEAT.wav</x:v>
      </x:c>
      <x:c r="W74" s="36" t="str">
        <x:v>待审核</x:v>
      </x:c>
      <x:c r="X74" s="36" t="str"/>
      <x:c r="Y74" s="36" t="str">
        <x:v>https://universe.leagueoflegends.com/en_US/champion/jhin/</x:v>
      </x:c>
    </x:row>
    <x:row r="75" ht="68" customHeight="1">
      <x:c r="A75" s="24" t="str">
        <x:v>ION_JHIN_LORE</x:v>
      </x:c>
      <x:c r="B75" s="24" t="str">
        <x:v>jhin</x:v>
      </x:c>
      <x:c r="C75" s="24" t="str">
        <x:v>烬</x:v>
      </x:c>
      <x:c r="D75" s="24" t="str">
        <x:v>LORE</x:v>
      </x:c>
      <x:c r="E75" s="24" t="str">
        <x:v>世界观讲述</x:v>
      </x:c>
      <x:c r="F75" s="24" t="str">
        <x:v>玩家询问人物、地点或往事</x:v>
      </x:c>
      <x:c r="G75" s="24" t="str">
        <x:v>玩家</x:v>
      </x:c>
      <x:c r="H75" s="24" t="str">
        <x:v>叙述</x:v>
      </x:c>
      <x:c r="I75" s="24" t="str">
        <x:v>怀念</x:v>
      </x:c>
      <x:c r="J75" s="24" t="n">
        <x:v>2</x:v>
      </x:c>
      <x:c r="K75" s="30" t="str">
        <x:v>人们把暴力称为混乱，只因为他们从未学会安排它的形状。</x:v>
      </x:c>
      <x:c r="L75" s="30" t="str">
        <x:v>保持讲究节拍、停顿与舞台术语；不可美化杀戮，不模仿官方表演细节</x:v>
      </x:c>
      <x:c r="M75" s="30" t="n">
        <x:v>8</x:v>
      </x:c>
      <x:c r="N75" s="30" t="n">
        <x:v>0</x:v>
      </x:c>
      <x:c r="O75" s="30" t="str">
        <x:v>不限</x:v>
      </x:c>
      <x:c r="P75" s="30" t="str">
        <x:v>不限</x:v>
      </x:c>
      <x:c r="Q75" s="30" t="str">
        <x:v>是</x:v>
      </x:c>
      <x:c r="R75" s="30" t="n">
        <x:v>10</x:v>
      </x:c>
      <x:c r="S75" s="30" t="str">
        <x:v>spirit</x:v>
      </x:c>
      <x:c r="T75" s="30" t="str">
        <x:v>spirit_fate</x:v>
      </x:c>
      <x:c r="U75" s="30" t="n">
        <x:v>0</x:v>
      </x:c>
      <x:c r="V75" s="36" t="str">
        <x:f>A75&amp;".wav"</x:f>
        <x:v>ION_JHIN_LORE.wav</x:v>
      </x:c>
      <x:c r="W75" s="36" t="str">
        <x:v>待审核</x:v>
      </x:c>
      <x:c r="X75" s="36" t="str"/>
      <x:c r="Y75" s="36" t="str">
        <x:v>https://universe.leagueoflegends.com/en_US/champion/jhin/</x:v>
      </x:c>
    </x:row>
    <x:row r="76" ht="68" customHeight="1">
      <x:c r="A76" s="24" t="str">
        <x:v>ION_JHIN_FAREWELL</x:v>
      </x:c>
      <x:c r="B76" s="24" t="str">
        <x:v>jhin</x:v>
      </x:c>
      <x:c r="C76" s="24" t="str">
        <x:v>烬</x:v>
      </x:c>
      <x:c r="D76" s="24" t="str">
        <x:v>FAREWELL</x:v>
      </x:c>
      <x:c r="E76" s="24" t="str">
        <x:v>阶段告别</x:v>
      </x:c>
      <x:c r="F76" s="24" t="str">
        <x:v>事件结束或角色离开队伍</x:v>
      </x:c>
      <x:c r="G76" s="24" t="str">
        <x:v>玩家</x:v>
      </x:c>
      <x:c r="H76" s="24" t="str">
        <x:v>告别</x:v>
      </x:c>
      <x:c r="I76" s="24" t="str">
        <x:v>复杂</x:v>
      </x:c>
      <x:c r="J76" s="24" t="n">
        <x:v>3</x:v>
      </x:c>
      <x:c r="K76" s="30" t="str">
        <x:v>离场吧。下一次见面时，希望你配得上更好的位置。</x:v>
      </x:c>
      <x:c r="L76" s="30" t="str">
        <x:v>保持讲究节拍、停顿与舞台术语；不可美化杀戮，不模仿官方表演细节</x:v>
      </x:c>
      <x:c r="M76" s="30" t="n">
        <x:v>5</x:v>
      </x:c>
      <x:c r="N76" s="30" t="n">
        <x:v>0</x:v>
      </x:c>
      <x:c r="O76" s="30" t="str">
        <x:v>不限</x:v>
      </x:c>
      <x:c r="P76" s="30" t="str">
        <x:v>不限</x:v>
      </x:c>
      <x:c r="Q76" s="30" t="str">
        <x:v>否</x:v>
      </x:c>
      <x:c r="R76" s="30" t="n">
        <x:v>10</x:v>
      </x:c>
      <x:c r="S76" s="30" t="str">
        <x:v>freedom</x:v>
      </x:c>
      <x:c r="T76" s="30" t="str">
        <x:v>wanderer</x:v>
      </x:c>
      <x:c r="U76" s="30" t="n">
        <x:v>3</x:v>
      </x:c>
      <x:c r="V76" s="36" t="str">
        <x:f>A76&amp;".wav"</x:f>
        <x:v>ION_JHIN_FAREWELL.wav</x:v>
      </x:c>
      <x:c r="W76" s="36" t="str">
        <x:v>待审核</x:v>
      </x:c>
      <x:c r="X76" s="36" t="str"/>
      <x:c r="Y76" s="36" t="str">
        <x:v>https://universe.leagueoflegends.com/en_US/champion/jhin/</x:v>
      </x:c>
    </x:row>
    <x:row r="77" ht="68" customHeight="1">
      <x:c r="A77" s="24" t="str">
        <x:v>ION_KARMA_MEET</x:v>
      </x:c>
      <x:c r="B77" s="24" t="str">
        <x:v>karma</x:v>
      </x:c>
      <x:c r="C77" s="24" t="str">
        <x:v>卡尔玛</x:v>
      </x:c>
      <x:c r="D77" s="24" t="str">
        <x:v>MEET</x:v>
      </x:c>
      <x:c r="E77" s="24" t="str">
        <x:v>初次相遇</x:v>
      </x:c>
      <x:c r="F77" s="24" t="str">
        <x:v>玩家第一次接近角色</x:v>
      </x:c>
      <x:c r="G77" s="24" t="str">
        <x:v>玩家</x:v>
      </x:c>
      <x:c r="H77" s="24" t="str">
        <x:v>审视</x:v>
      </x:c>
      <x:c r="I77" s="24" t="str">
        <x:v>中性</x:v>
      </x:c>
      <x:c r="J77" s="24" t="n">
        <x:v>2</x:v>
      </x:c>
      <x:c r="K77" s="30" t="str">
        <x:v>你带着许多尚未发生的选择来到这里。先坐下，听清自己的那一个。</x:v>
      </x:c>
      <x:c r="L77" s="30" t="str">
        <x:v>保持沉稳、凝练、常从长时段观察当下；避免神棍腔与全知语气</x:v>
      </x:c>
      <x:c r="M77" s="30" t="n">
        <x:v>4</x:v>
      </x:c>
      <x:c r="N77" s="30" t="n">
        <x:v>0</x:v>
      </x:c>
      <x:c r="O77" s="30" t="str">
        <x:v>不限</x:v>
      </x:c>
      <x:c r="P77" s="30" t="str">
        <x:v>不限</x:v>
      </x:c>
      <x:c r="Q77" s="30" t="str">
        <x:v>是</x:v>
      </x:c>
      <x:c r="R77" s="30" t="n">
        <x:v>10</x:v>
      </x:c>
      <x:c r="S77" s="30" t="str">
        <x:v>destiny</x:v>
      </x:c>
      <x:c r="T77" s="30" t="str">
        <x:v>breaker</x:v>
      </x:c>
      <x:c r="U77" s="30" t="n">
        <x:v>0</x:v>
      </x:c>
      <x:c r="V77" s="36" t="str">
        <x:f>A77&amp;".wav"</x:f>
        <x:v>ION_KARMA_MEET.wav</x:v>
      </x:c>
      <x:c r="W77" s="36" t="str">
        <x:v>待审核</x:v>
      </x:c>
      <x:c r="X77" s="36" t="str"/>
      <x:c r="Y77" s="36" t="str">
        <x:v>https://universe.leagueoflegends.com/en_US/champion/karma/</x:v>
      </x:c>
    </x:row>
    <x:row r="78" ht="68" customHeight="1">
      <x:c r="A78" s="24" t="str">
        <x:v>ION_KARMA_GREET</x:v>
      </x:c>
      <x:c r="B78" s="24" t="str">
        <x:v>karma</x:v>
      </x:c>
      <x:c r="C78" s="24" t="str">
        <x:v>卡尔玛</x:v>
      </x:c>
      <x:c r="D78" s="24" t="str">
        <x:v>GREET</x:v>
      </x:c>
      <x:c r="E78" s="24" t="str">
        <x:v>友好问候</x:v>
      </x:c>
      <x:c r="F78" s="24" t="str">
        <x:v>关系值达到友好后进入对话</x:v>
      </x:c>
      <x:c r="G78" s="24" t="str">
        <x:v>玩家</x:v>
      </x:c>
      <x:c r="H78" s="24" t="str">
        <x:v>友善</x:v>
      </x:c>
      <x:c r="I78" s="24" t="str">
        <x:v>喜悦</x:v>
      </x:c>
      <x:c r="J78" s="24" t="n">
        <x:v>2</x:v>
      </x:c>
      <x:c r="K78" s="30" t="str">
        <x:v>今日的你比昨日安静，这意味着你终于开始听见后果。</x:v>
      </x:c>
      <x:c r="L78" s="30" t="str">
        <x:v>保持沉稳、凝练、常从长时段观察当下；避免神棍腔与全知语气</x:v>
      </x:c>
      <x:c r="M78" s="30" t="n">
        <x:v>3</x:v>
      </x:c>
      <x:c r="N78" s="30" t="n">
        <x:v>10</x:v>
      </x:c>
      <x:c r="O78" s="30" t="str">
        <x:v>不限</x:v>
      </x:c>
      <x:c r="P78" s="30" t="str">
        <x:v>不限</x:v>
      </x:c>
      <x:c r="Q78" s="30" t="str">
        <x:v>否</x:v>
      </x:c>
      <x:c r="R78" s="30" t="n">
        <x:v>10</x:v>
      </x:c>
      <x:c r="S78" s="30" t="str">
        <x:v>peace</x:v>
      </x:c>
      <x:c r="T78" s="30" t="str">
        <x:v>guardian</x:v>
      </x:c>
      <x:c r="U78" s="30" t="n">
        <x:v>3</x:v>
      </x:c>
      <x:c r="V78" s="36" t="str">
        <x:f>A78&amp;".wav"</x:f>
        <x:v>ION_KARMA_GREET.wav</x:v>
      </x:c>
      <x:c r="W78" s="36" t="str">
        <x:v>待审核</x:v>
      </x:c>
      <x:c r="X78" s="36" t="str"/>
      <x:c r="Y78" s="36" t="str">
        <x:v>https://universe.leagueoflegends.com/en_US/champion/karma/</x:v>
      </x:c>
    </x:row>
    <x:row r="79" ht="68" customHeight="1">
      <x:c r="A79" s="24" t="str">
        <x:v>ION_KARMA_WARN</x:v>
      </x:c>
      <x:c r="B79" s="24" t="str">
        <x:v>karma</x:v>
      </x:c>
      <x:c r="C79" s="24" t="str">
        <x:v>卡尔玛</x:v>
      </x:c>
      <x:c r="D79" s="24" t="str">
        <x:v>WARN</x:v>
      </x:c>
      <x:c r="E79" s="24" t="str">
        <x:v>危险警告</x:v>
      </x:c>
      <x:c r="F79" s="24" t="str">
        <x:v>区域威胁或伏击即将发生</x:v>
      </x:c>
      <x:c r="G79" s="24" t="str">
        <x:v>玩家</x:v>
      </x:c>
      <x:c r="H79" s="24" t="str">
        <x:v>紧张</x:v>
      </x:c>
      <x:c r="I79" s="24" t="str">
        <x:v>警觉</x:v>
      </x:c>
      <x:c r="J79" s="24" t="n">
        <x:v>3</x:v>
      </x:c>
      <x:c r="K79" s="30" t="str">
        <x:v>有一股意志正穿过灵界逼近。它不属于这片土地。</x:v>
      </x:c>
      <x:c r="L79" s="30" t="str">
        <x:v>保持沉稳、凝练、常从长时段观察当下；避免神棍腔与全知语气</x:v>
      </x:c>
      <x:c r="M79" s="30" t="n">
        <x:v>3</x:v>
      </x:c>
      <x:c r="N79" s="30" t="n">
        <x:v>0</x:v>
      </x:c>
      <x:c r="O79" s="30" t="str">
        <x:v>不限</x:v>
      </x:c>
      <x:c r="P79" s="30" t="str">
        <x:v>不限</x:v>
      </x:c>
      <x:c r="Q79" s="30" t="str">
        <x:v>否</x:v>
      </x:c>
      <x:c r="R79" s="30" t="n">
        <x:v>10</x:v>
      </x:c>
      <x:c r="S79" s="30" t="str">
        <x:v>destiny</x:v>
      </x:c>
      <x:c r="T79" s="30" t="str">
        <x:v>breaker</x:v>
      </x:c>
      <x:c r="U79" s="30" t="n">
        <x:v>3</x:v>
      </x:c>
      <x:c r="V79" s="36" t="str">
        <x:f>A79&amp;".wav"</x:f>
        <x:v>ION_KARMA_WARN.wav</x:v>
      </x:c>
      <x:c r="W79" s="36" t="str">
        <x:v>待审核</x:v>
      </x:c>
      <x:c r="X79" s="36" t="str"/>
      <x:c r="Y79" s="36" t="str">
        <x:v>https://universe.leagueoflegends.com/en_US/champion/karma/</x:v>
      </x:c>
    </x:row>
    <x:row r="80" ht="68" customHeight="1">
      <x:c r="A80" s="24" t="str">
        <x:v>ION_KARMA_REFUSE</x:v>
      </x:c>
      <x:c r="B80" s="24" t="str">
        <x:v>karma</x:v>
      </x:c>
      <x:c r="C80" s="24" t="str">
        <x:v>卡尔玛</x:v>
      </x:c>
      <x:c r="D80" s="24" t="str">
        <x:v>REFUSE</x:v>
      </x:c>
      <x:c r="E80" s="24" t="str">
        <x:v>拒绝请求</x:v>
      </x:c>
      <x:c r="F80" s="24" t="str">
        <x:v>玩家请求触碰角色底线</x:v>
      </x:c>
      <x:c r="G80" s="24" t="str">
        <x:v>玩家</x:v>
      </x:c>
      <x:c r="H80" s="24" t="str">
        <x:v>拒绝</x:v>
      </x:c>
      <x:c r="I80" s="24" t="str">
        <x:v>厌恶</x:v>
      </x:c>
      <x:c r="J80" s="24" t="n">
        <x:v>3</x:v>
      </x:c>
      <x:c r="K80" s="30" t="str">
        <x:v>我不能以艾欧尼亚的未来，交换眼前轻易的胜利。</x:v>
      </x:c>
      <x:c r="L80" s="30" t="str">
        <x:v>保持沉稳、凝练、常从长时段观察当下；避免神棍腔与全知语气</x:v>
      </x:c>
      <x:c r="M80" s="30" t="n">
        <x:v>4</x:v>
      </x:c>
      <x:c r="N80" s="30" t="n">
        <x:v>-20</x:v>
      </x:c>
      <x:c r="O80" s="30" t="str">
        <x:v>不限</x:v>
      </x:c>
      <x:c r="P80" s="30" t="str">
        <x:v>不限</x:v>
      </x:c>
      <x:c r="Q80" s="30" t="str">
        <x:v>否</x:v>
      </x:c>
      <x:c r="R80" s="30" t="n">
        <x:v>10</x:v>
      </x:c>
      <x:c r="S80" s="30" t="str">
        <x:v>freedom</x:v>
      </x:c>
      <x:c r="T80" s="30" t="str">
        <x:v>wanderer</x:v>
      </x:c>
      <x:c r="U80" s="30" t="n">
        <x:v>3</x:v>
      </x:c>
      <x:c r="V80" s="36" t="str">
        <x:f>A80&amp;".wav"</x:f>
        <x:v>ION_KARMA_REFUSE.wav</x:v>
      </x:c>
      <x:c r="W80" s="36" t="str">
        <x:v>待审核</x:v>
      </x:c>
      <x:c r="X80" s="36" t="str"/>
      <x:c r="Y80" s="36" t="str">
        <x:v>https://universe.leagueoflegends.com/en_US/champion/karma/</x:v>
      </x:c>
    </x:row>
    <x:row r="81" ht="68" customHeight="1">
      <x:c r="A81" s="24" t="str">
        <x:v>ION_KARMA_TRUST</x:v>
      </x:c>
      <x:c r="B81" s="24" t="str">
        <x:v>karma</x:v>
      </x:c>
      <x:c r="C81" s="24" t="str">
        <x:v>卡尔玛</x:v>
      </x:c>
      <x:c r="D81" s="24" t="str">
        <x:v>TRUST</x:v>
      </x:c>
      <x:c r="E81" s="24" t="str">
        <x:v>建立信任</x:v>
      </x:c>
      <x:c r="F81" s="24" t="str">
        <x:v>玩家满足角色的信任条件</x:v>
      </x:c>
      <x:c r="G81" s="24" t="str">
        <x:v>玩家</x:v>
      </x:c>
      <x:c r="H81" s="24" t="str">
        <x:v>信任</x:v>
      </x:c>
      <x:c r="I81" s="24" t="str">
        <x:v>柔和</x:v>
      </x:c>
      <x:c r="J81" s="24" t="n">
        <x:v>3</x:v>
      </x:c>
      <x:c r="K81" s="30" t="str">
        <x:v>我将这一刻交给你判断，也会与你共同承担判断的重量。</x:v>
      </x:c>
      <x:c r="L81" s="30" t="str">
        <x:v>保持沉稳、凝练、常从长时段观察当下；避免神棍腔与全知语气</x:v>
      </x:c>
      <x:c r="M81" s="30" t="n">
        <x:v>5</x:v>
      </x:c>
      <x:c r="N81" s="30" t="n">
        <x:v>40</x:v>
      </x:c>
      <x:c r="O81" s="30" t="str">
        <x:v>不限</x:v>
      </x:c>
      <x:c r="P81" s="30" t="str">
        <x:v>不限</x:v>
      </x:c>
      <x:c r="Q81" s="30" t="str">
        <x:v>是</x:v>
      </x:c>
      <x:c r="R81" s="30" t="n">
        <x:v>10</x:v>
      </x:c>
      <x:c r="S81" s="30" t="str">
        <x:v>peace</x:v>
      </x:c>
      <x:c r="T81" s="30" t="str">
        <x:v>guardian</x:v>
      </x:c>
      <x:c r="U81" s="30" t="n">
        <x:v>0</x:v>
      </x:c>
      <x:c r="V81" s="36" t="str">
        <x:f>A81&amp;".wav"</x:f>
        <x:v>ION_KARMA_TRUST.wav</x:v>
      </x:c>
      <x:c r="W81" s="36" t="str">
        <x:v>待审核</x:v>
      </x:c>
      <x:c r="X81" s="36" t="str"/>
      <x:c r="Y81" s="36" t="str">
        <x:v>https://universe.leagueoflegends.com/en_US/champion/karma/</x:v>
      </x:c>
    </x:row>
    <x:row r="82" ht="68" customHeight="1">
      <x:c r="A82" s="24" t="str">
        <x:v>ION_KARMA_ANGER</x:v>
      </x:c>
      <x:c r="B82" s="24" t="str">
        <x:v>karma</x:v>
      </x:c>
      <x:c r="C82" s="24" t="str">
        <x:v>卡尔玛</x:v>
      </x:c>
      <x:c r="D82" s="24" t="str">
        <x:v>ANGER</x:v>
      </x:c>
      <x:c r="E82" s="24" t="str">
        <x:v>被激怒</x:v>
      </x:c>
      <x:c r="F82" s="24" t="str">
        <x:v>玩家触发角色主要怒点</x:v>
      </x:c>
      <x:c r="G82" s="24" t="str">
        <x:v>玩家</x:v>
      </x:c>
      <x:c r="H82" s="24" t="str">
        <x:v>愤怒</x:v>
      </x:c>
      <x:c r="I82" s="24" t="str">
        <x:v>受伤</x:v>
      </x:c>
      <x:c r="J82" s="24" t="n">
        <x:v>4</x:v>
      </x:c>
      <x:c r="K82" s="30" t="str">
        <x:v>复仇能点燃人群，却不能告诉他们火焰熄灭后如何生活。</x:v>
      </x:c>
      <x:c r="L82" s="30" t="str">
        <x:v>保持沉稳、凝练、常从长时段观察当下；避免神棍腔与全知语气</x:v>
      </x:c>
      <x:c r="M82" s="30" t="n">
        <x:v>4</x:v>
      </x:c>
      <x:c r="N82" s="30" t="n">
        <x:v>-20</x:v>
      </x:c>
      <x:c r="O82" s="30" t="str">
        <x:v>不限</x:v>
      </x:c>
      <x:c r="P82" s="30" t="str">
        <x:v>不限</x:v>
      </x:c>
      <x:c r="Q82" s="30" t="str">
        <x:v>否</x:v>
      </x:c>
      <x:c r="R82" s="30" t="n">
        <x:v>10</x:v>
      </x:c>
      <x:c r="S82" s="30" t="str">
        <x:v>power</x:v>
      </x:c>
      <x:c r="T82" s="30" t="str">
        <x:v>strong</x:v>
      </x:c>
      <x:c r="U82" s="30" t="n">
        <x:v>3</x:v>
      </x:c>
      <x:c r="V82" s="36" t="str">
        <x:f>A82&amp;".wav"</x:f>
        <x:v>ION_KARMA_ANGER.wav</x:v>
      </x:c>
      <x:c r="W82" s="36" t="str">
        <x:v>待审核</x:v>
      </x:c>
      <x:c r="X82" s="36" t="str"/>
      <x:c r="Y82" s="36" t="str">
        <x:v>https://universe.leagueoflegends.com/en_US/champion/karma/</x:v>
      </x:c>
    </x:row>
    <x:row r="83" ht="68" customHeight="1">
      <x:c r="A83" s="24" t="str">
        <x:v>ION_KARMA_HURT</x:v>
      </x:c>
      <x:c r="B83" s="24" t="str">
        <x:v>karma</x:v>
      </x:c>
      <x:c r="C83" s="24" t="str">
        <x:v>卡尔玛</x:v>
      </x:c>
      <x:c r="D83" s="24" t="str">
        <x:v>HURT</x:v>
      </x:c>
      <x:c r="E83" s="24" t="str">
        <x:v>受伤反馈</x:v>
      </x:c>
      <x:c r="F83" s="24" t="str">
        <x:v>角色受到重击但仍可行动</x:v>
      </x:c>
      <x:c r="G83" s="24" t="str">
        <x:v>玩家</x:v>
      </x:c>
      <x:c r="H83" s="24" t="str">
        <x:v>痛苦</x:v>
      </x:c>
      <x:c r="I83" s="24" t="str">
        <x:v>坚持</x:v>
      </x:c>
      <x:c r="J83" s="24" t="n">
        <x:v>4</x:v>
      </x:c>
      <x:c r="K83" s="30" t="str">
        <x:v>这具身体会疼，历代的记忆也会。两者都不会让我停止。</x:v>
      </x:c>
      <x:c r="L83" s="30" t="str">
        <x:v>保持沉稳、凝练、常从长时段观察当下；避免神棍腔与全知语气</x:v>
      </x:c>
      <x:c r="M83" s="30" t="n">
        <x:v>2</x:v>
      </x:c>
      <x:c r="N83" s="30" t="n">
        <x:v>0</x:v>
      </x:c>
      <x:c r="O83" s="30" t="str">
        <x:v>不限</x:v>
      </x:c>
      <x:c r="P83" s="30" t="str">
        <x:v>不限</x:v>
      </x:c>
      <x:c r="Q83" s="30" t="str">
        <x:v>否</x:v>
      </x:c>
      <x:c r="R83" s="30" t="n">
        <x:v>10</x:v>
      </x:c>
      <x:c r="S83" s="30" t="str">
        <x:v>peace</x:v>
      </x:c>
      <x:c r="T83" s="30" t="str">
        <x:v>guardian</x:v>
      </x:c>
      <x:c r="U83" s="30" t="n">
        <x:v>3</x:v>
      </x:c>
      <x:c r="V83" s="36" t="str">
        <x:f>A83&amp;".wav"</x:f>
        <x:v>ION_KARMA_HURT.wav</x:v>
      </x:c>
      <x:c r="W83" s="36" t="str">
        <x:v>待审核</x:v>
      </x:c>
      <x:c r="X83" s="36" t="str"/>
      <x:c r="Y83" s="36" t="str">
        <x:v>https://universe.leagueoflegends.com/en_US/champion/karma/</x:v>
      </x:c>
    </x:row>
    <x:row r="84" ht="68" customHeight="1">
      <x:c r="A84" s="24" t="str">
        <x:v>ION_KARMA_COMBAT</x:v>
      </x:c>
      <x:c r="B84" s="24" t="str">
        <x:v>karma</x:v>
      </x:c>
      <x:c r="C84" s="24" t="str">
        <x:v>卡尔玛</x:v>
      </x:c>
      <x:c r="D84" s="24" t="str">
        <x:v>COMBAT</x:v>
      </x:c>
      <x:c r="E84" s="24" t="str">
        <x:v>战斗行动</x:v>
      </x:c>
      <x:c r="F84" s="24" t="str">
        <x:v>角色发动标志性行动</x:v>
      </x:c>
      <x:c r="G84" s="24" t="str">
        <x:v>玩家</x:v>
      </x:c>
      <x:c r="H84" s="24" t="str">
        <x:v>战意</x:v>
      </x:c>
      <x:c r="I84" s="24" t="str">
        <x:v>专注</x:v>
      </x:c>
      <x:c r="J84" s="24" t="n">
        <x:v>4</x:v>
      </x:c>
      <x:c r="K84" s="30" t="str">
        <x:v>站在我身后，让这片土地借我的声音回答。</x:v>
      </x:c>
      <x:c r="L84" s="30" t="str">
        <x:v>保持沉稳、凝练、常从长时段观察当下；避免神棍腔与全知语气</x:v>
      </x:c>
      <x:c r="M84" s="30" t="n">
        <x:v>2</x:v>
      </x:c>
      <x:c r="N84" s="30" t="n">
        <x:v>0</x:v>
      </x:c>
      <x:c r="O84" s="30" t="str">
        <x:v>不限</x:v>
      </x:c>
      <x:c r="P84" s="30" t="str">
        <x:v>不限</x:v>
      </x:c>
      <x:c r="Q84" s="30" t="str">
        <x:v>否</x:v>
      </x:c>
      <x:c r="R84" s="30" t="n">
        <x:v>10</x:v>
      </x:c>
      <x:c r="S84" s="30" t="str">
        <x:v>power</x:v>
      </x:c>
      <x:c r="T84" s="30" t="str">
        <x:v>strong</x:v>
      </x:c>
      <x:c r="U84" s="30" t="n">
        <x:v>3</x:v>
      </x:c>
      <x:c r="V84" s="36" t="str">
        <x:f>A84&amp;".wav"</x:f>
        <x:v>ION_KARMA_COMBAT.wav</x:v>
      </x:c>
      <x:c r="W84" s="36" t="str">
        <x:v>待审核</x:v>
      </x:c>
      <x:c r="X84" s="36" t="str"/>
      <x:c r="Y84" s="36" t="str">
        <x:v>https://universe.leagueoflegends.com/en_US/champion/karma/</x:v>
      </x:c>
    </x:row>
    <x:row r="85" ht="68" customHeight="1">
      <x:c r="A85" s="24" t="str">
        <x:v>ION_KARMA_VICTORY</x:v>
      </x:c>
      <x:c r="B85" s="24" t="str">
        <x:v>karma</x:v>
      </x:c>
      <x:c r="C85" s="24" t="str">
        <x:v>卡尔玛</x:v>
      </x:c>
      <x:c r="D85" s="24" t="str">
        <x:v>VICTORY</x:v>
      </x:c>
      <x:c r="E85" s="24" t="str">
        <x:v>战斗胜利</x:v>
      </x:c>
      <x:c r="F85" s="24" t="str">
        <x:v>威胁解除并进入结算</x:v>
      </x:c>
      <x:c r="G85" s="24" t="str">
        <x:v>玩家</x:v>
      </x:c>
      <x:c r="H85" s="24" t="str">
        <x:v>释然</x:v>
      </x:c>
      <x:c r="I85" s="24" t="str">
        <x:v>克制喜悦</x:v>
      </x:c>
      <x:c r="J85" s="24" t="n">
        <x:v>3</x:v>
      </x:c>
      <x:c r="K85" s="30" t="str">
        <x:v>冲突结束了。现在开始修复胜利无法修复的部分。</x:v>
      </x:c>
      <x:c r="L85" s="30" t="str">
        <x:v>保持沉稳、凝练、常从长时段观察当下；避免神棍腔与全知语气</x:v>
      </x:c>
      <x:c r="M85" s="30" t="n">
        <x:v>4</x:v>
      </x:c>
      <x:c r="N85" s="30" t="n">
        <x:v>0</x:v>
      </x:c>
      <x:c r="O85" s="30" t="str">
        <x:v>不限</x:v>
      </x:c>
      <x:c r="P85" s="30" t="str">
        <x:v>不限</x:v>
      </x:c>
      <x:c r="Q85" s="30" t="str">
        <x:v>否</x:v>
      </x:c>
      <x:c r="R85" s="30" t="n">
        <x:v>10</x:v>
      </x:c>
      <x:c r="S85" s="30" t="str">
        <x:v>destiny</x:v>
      </x:c>
      <x:c r="T85" s="30" t="str">
        <x:v>breaker</x:v>
      </x:c>
      <x:c r="U85" s="30" t="n">
        <x:v>3</x:v>
      </x:c>
      <x:c r="V85" s="36" t="str">
        <x:f>A85&amp;".wav"</x:f>
        <x:v>ION_KARMA_VICTORY.wav</x:v>
      </x:c>
      <x:c r="W85" s="36" t="str">
        <x:v>待审核</x:v>
      </x:c>
      <x:c r="X85" s="36" t="str"/>
      <x:c r="Y85" s="36" t="str">
        <x:v>https://universe.leagueoflegends.com/en_US/champion/karma/</x:v>
      </x:c>
    </x:row>
    <x:row r="86" ht="68" customHeight="1">
      <x:c r="A86" s="24" t="str">
        <x:v>ION_KARMA_DEFEAT</x:v>
      </x:c>
      <x:c r="B86" s="24" t="str">
        <x:v>karma</x:v>
      </x:c>
      <x:c r="C86" s="24" t="str">
        <x:v>卡尔玛</x:v>
      </x:c>
      <x:c r="D86" s="24" t="str">
        <x:v>DEFEAT</x:v>
      </x:c>
      <x:c r="E86" s="24" t="str">
        <x:v>失败撤退</x:v>
      </x:c>
      <x:c r="F86" s="24" t="str">
        <x:v>角色被迫撤离或计划失败</x:v>
      </x:c>
      <x:c r="G86" s="24" t="str">
        <x:v>玩家</x:v>
      </x:c>
      <x:c r="H86" s="24" t="str">
        <x:v>挫败</x:v>
      </x:c>
      <x:c r="I86" s="24" t="str">
        <x:v>反思</x:v>
      </x:c>
      <x:c r="J86" s="24" t="n">
        <x:v>4</x:v>
      </x:c>
      <x:c r="K86" s="30" t="str">
        <x:v>我们必须后退，不是放弃，而是保护仍有可能的明天。</x:v>
      </x:c>
      <x:c r="L86" s="30" t="str">
        <x:v>保持沉稳、凝练、常从长时段观察当下；避免神棍腔与全知语气</x:v>
      </x:c>
      <x:c r="M86" s="30" t="n">
        <x:v>5</x:v>
      </x:c>
      <x:c r="N86" s="30" t="n">
        <x:v>0</x:v>
      </x:c>
      <x:c r="O86" s="30" t="str">
        <x:v>不限</x:v>
      </x:c>
      <x:c r="P86" s="30" t="str">
        <x:v>不限</x:v>
      </x:c>
      <x:c r="Q86" s="30" t="str">
        <x:v>否</x:v>
      </x:c>
      <x:c r="R86" s="30" t="n">
        <x:v>10</x:v>
      </x:c>
      <x:c r="S86" s="30" t="str">
        <x:v>spirit</x:v>
      </x:c>
      <x:c r="T86" s="30" t="str">
        <x:v>spirit_fate</x:v>
      </x:c>
      <x:c r="U86" s="30" t="n">
        <x:v>3</x:v>
      </x:c>
      <x:c r="V86" s="36" t="str">
        <x:f>A86&amp;".wav"</x:f>
        <x:v>ION_KARMA_DEFEAT.wav</x:v>
      </x:c>
      <x:c r="W86" s="36" t="str">
        <x:v>待审核</x:v>
      </x:c>
      <x:c r="X86" s="36" t="str"/>
      <x:c r="Y86" s="36" t="str">
        <x:v>https://universe.leagueoflegends.com/en_US/champion/karma/</x:v>
      </x:c>
    </x:row>
    <x:row r="87" ht="68" customHeight="1">
      <x:c r="A87" s="24" t="str">
        <x:v>ION_KARMA_LORE</x:v>
      </x:c>
      <x:c r="B87" s="24" t="str">
        <x:v>karma</x:v>
      </x:c>
      <x:c r="C87" s="24" t="str">
        <x:v>卡尔玛</x:v>
      </x:c>
      <x:c r="D87" s="24" t="str">
        <x:v>LORE</x:v>
      </x:c>
      <x:c r="E87" s="24" t="str">
        <x:v>世界观讲述</x:v>
      </x:c>
      <x:c r="F87" s="24" t="str">
        <x:v>玩家询问人物、地点或往事</x:v>
      </x:c>
      <x:c r="G87" s="24" t="str">
        <x:v>玩家</x:v>
      </x:c>
      <x:c r="H87" s="24" t="str">
        <x:v>叙述</x:v>
      </x:c>
      <x:c r="I87" s="24" t="str">
        <x:v>怀念</x:v>
      </x:c>
      <x:c r="J87" s="24" t="n">
        <x:v>2</x:v>
      </x:c>
      <x:c r="K87" s="30" t="str">
        <x:v>长存之殿保存的并非答案，而是每一代人犯错后留下的重量。</x:v>
      </x:c>
      <x:c r="L87" s="30" t="str">
        <x:v>保持沉稳、凝练、常从长时段观察当下；避免神棍腔与全知语气</x:v>
      </x:c>
      <x:c r="M87" s="30" t="n">
        <x:v>8</x:v>
      </x:c>
      <x:c r="N87" s="30" t="n">
        <x:v>0</x:v>
      </x:c>
      <x:c r="O87" s="30" t="str">
        <x:v>不限</x:v>
      </x:c>
      <x:c r="P87" s="30" t="str">
        <x:v>不限</x:v>
      </x:c>
      <x:c r="Q87" s="30" t="str">
        <x:v>是</x:v>
      </x:c>
      <x:c r="R87" s="30" t="n">
        <x:v>10</x:v>
      </x:c>
      <x:c r="S87" s="30" t="str">
        <x:v>spirit</x:v>
      </x:c>
      <x:c r="T87" s="30" t="str">
        <x:v>spirit_fate</x:v>
      </x:c>
      <x:c r="U87" s="30" t="n">
        <x:v>0</x:v>
      </x:c>
      <x:c r="V87" s="36" t="str">
        <x:f>A87&amp;".wav"</x:f>
        <x:v>ION_KARMA_LORE.wav</x:v>
      </x:c>
      <x:c r="W87" s="36" t="str">
        <x:v>待审核</x:v>
      </x:c>
      <x:c r="X87" s="36" t="str"/>
      <x:c r="Y87" s="36" t="str">
        <x:v>https://universe.leagueoflegends.com/en_US/champion/karma/</x:v>
      </x:c>
    </x:row>
    <x:row r="88" ht="68" customHeight="1">
      <x:c r="A88" s="24" t="str">
        <x:v>ION_KARMA_FAREWELL</x:v>
      </x:c>
      <x:c r="B88" s="24" t="str">
        <x:v>karma</x:v>
      </x:c>
      <x:c r="C88" s="24" t="str">
        <x:v>卡尔玛</x:v>
      </x:c>
      <x:c r="D88" s="24" t="str">
        <x:v>FAREWELL</x:v>
      </x:c>
      <x:c r="E88" s="24" t="str">
        <x:v>阶段告别</x:v>
      </x:c>
      <x:c r="F88" s="24" t="str">
        <x:v>事件结束或角色离开队伍</x:v>
      </x:c>
      <x:c r="G88" s="24" t="str">
        <x:v>玩家</x:v>
      </x:c>
      <x:c r="H88" s="24" t="str">
        <x:v>告别</x:v>
      </x:c>
      <x:c r="I88" s="24" t="str">
        <x:v>复杂</x:v>
      </x:c>
      <x:c r="J88" s="24" t="n">
        <x:v>3</x:v>
      </x:c>
      <x:c r="K88" s="30" t="str">
        <x:v>去完成你的道路。若它影响众生，我们终会再次相见。</x:v>
      </x:c>
      <x:c r="L88" s="30" t="str">
        <x:v>保持沉稳、凝练、常从长时段观察当下；避免神棍腔与全知语气</x:v>
      </x:c>
      <x:c r="M88" s="30" t="n">
        <x:v>5</x:v>
      </x:c>
      <x:c r="N88" s="30" t="n">
        <x:v>0</x:v>
      </x:c>
      <x:c r="O88" s="30" t="str">
        <x:v>不限</x:v>
      </x:c>
      <x:c r="P88" s="30" t="str">
        <x:v>不限</x:v>
      </x:c>
      <x:c r="Q88" s="30" t="str">
        <x:v>否</x:v>
      </x:c>
      <x:c r="R88" s="30" t="n">
        <x:v>10</x:v>
      </x:c>
      <x:c r="S88" s="30" t="str">
        <x:v>freedom</x:v>
      </x:c>
      <x:c r="T88" s="30" t="str">
        <x:v>wanderer</x:v>
      </x:c>
      <x:c r="U88" s="30" t="n">
        <x:v>3</x:v>
      </x:c>
      <x:c r="V88" s="36" t="str">
        <x:f>A88&amp;".wav"</x:f>
        <x:v>ION_KARMA_FAREWELL.wav</x:v>
      </x:c>
      <x:c r="W88" s="36" t="str">
        <x:v>待审核</x:v>
      </x:c>
      <x:c r="X88" s="36" t="str"/>
      <x:c r="Y88" s="36" t="str">
        <x:v>https://universe.leagueoflegends.com/en_US/champion/karma/</x:v>
      </x:c>
    </x:row>
    <x:row r="89" ht="68" customHeight="1">
      <x:c r="A89" s="24" t="str">
        <x:v>ION_KAYN_MEET</x:v>
      </x:c>
      <x:c r="B89" s="24" t="str">
        <x:v>kayn</x:v>
      </x:c>
      <x:c r="C89" s="24" t="str">
        <x:v>凯隐</x:v>
      </x:c>
      <x:c r="D89" s="24" t="str">
        <x:v>MEET</x:v>
      </x:c>
      <x:c r="E89" s="24" t="str">
        <x:v>初次相遇</x:v>
      </x:c>
      <x:c r="F89" s="24" t="str">
        <x:v>玩家第一次接近角色</x:v>
      </x:c>
      <x:c r="G89" s="24" t="str">
        <x:v>玩家</x:v>
      </x:c>
      <x:c r="H89" s="24" t="str">
        <x:v>审视</x:v>
      </x:c>
      <x:c r="I89" s="24" t="str">
        <x:v>中性</x:v>
      </x:c>
      <x:c r="J89" s="24" t="n">
        <x:v>2</x:v>
      </x:c>
      <x:c r="K89" s="30" t="str">
        <x:v>劫派你来的？不，他不会用这种迟疑的脚步。</x:v>
      </x:c>
      <x:c r="L89" s="30" t="str">
        <x:v>保持挑衅、简短、带优越感；不可与拉亚斯特使用同一处理</x:v>
      </x:c>
      <x:c r="M89" s="30" t="n">
        <x:v>4</x:v>
      </x:c>
      <x:c r="N89" s="30" t="n">
        <x:v>0</x:v>
      </x:c>
      <x:c r="O89" s="30" t="str">
        <x:v>不限</x:v>
      </x:c>
      <x:c r="P89" s="30" t="str">
        <x:v>不限</x:v>
      </x:c>
      <x:c r="Q89" s="30" t="str">
        <x:v>是</x:v>
      </x:c>
      <x:c r="R89" s="30" t="n">
        <x:v>10</x:v>
      </x:c>
      <x:c r="S89" s="30" t="str">
        <x:v>destiny</x:v>
      </x:c>
      <x:c r="T89" s="30" t="str">
        <x:v>breaker</x:v>
      </x:c>
      <x:c r="U89" s="30" t="n">
        <x:v>0</x:v>
      </x:c>
      <x:c r="V89" s="36" t="str">
        <x:f>A89&amp;".wav"</x:f>
        <x:v>ION_KAYN_MEET.wav</x:v>
      </x:c>
      <x:c r="W89" s="36" t="str">
        <x:v>待审核</x:v>
      </x:c>
      <x:c r="X89" s="36" t="str"/>
      <x:c r="Y89" s="36" t="str">
        <x:v>https://universe.leagueoflegends.com/en_US/champion/kayn/</x:v>
      </x:c>
    </x:row>
    <x:row r="90" ht="68" customHeight="1">
      <x:c r="A90" s="24" t="str">
        <x:v>ION_KAYN_GREET</x:v>
      </x:c>
      <x:c r="B90" s="24" t="str">
        <x:v>kayn</x:v>
      </x:c>
      <x:c r="C90" s="24" t="str">
        <x:v>凯隐</x:v>
      </x:c>
      <x:c r="D90" s="24" t="str">
        <x:v>GREET</x:v>
      </x:c>
      <x:c r="E90" s="24" t="str">
        <x:v>友好问候</x:v>
      </x:c>
      <x:c r="F90" s="24" t="str">
        <x:v>关系值达到友好后进入对话</x:v>
      </x:c>
      <x:c r="G90" s="24" t="str">
        <x:v>玩家</x:v>
      </x:c>
      <x:c r="H90" s="24" t="str">
        <x:v>友善</x:v>
      </x:c>
      <x:c r="I90" s="24" t="str">
        <x:v>喜悦</x:v>
      </x:c>
      <x:c r="J90" s="24" t="n">
        <x:v>2</x:v>
      </x:c>
      <x:c r="K90" s="30" t="str">
        <x:v>至少你没有变得更弱。继续保持，也许我会记住你。</x:v>
      </x:c>
      <x:c r="L90" s="30" t="str">
        <x:v>保持挑衅、简短、带优越感；不可与拉亚斯特使用同一处理</x:v>
      </x:c>
      <x:c r="M90" s="30" t="n">
        <x:v>3</x:v>
      </x:c>
      <x:c r="N90" s="30" t="n">
        <x:v>10</x:v>
      </x:c>
      <x:c r="O90" s="30" t="str">
        <x:v>不限</x:v>
      </x:c>
      <x:c r="P90" s="30" t="str">
        <x:v>不限</x:v>
      </x:c>
      <x:c r="Q90" s="30" t="str">
        <x:v>否</x:v>
      </x:c>
      <x:c r="R90" s="30" t="n">
        <x:v>10</x:v>
      </x:c>
      <x:c r="S90" s="30" t="str">
        <x:v>peace</x:v>
      </x:c>
      <x:c r="T90" s="30" t="str">
        <x:v>guardian</x:v>
      </x:c>
      <x:c r="U90" s="30" t="n">
        <x:v>3</x:v>
      </x:c>
      <x:c r="V90" s="36" t="str">
        <x:f>A90&amp;".wav"</x:f>
        <x:v>ION_KAYN_GREET.wav</x:v>
      </x:c>
      <x:c r="W90" s="36" t="str">
        <x:v>待审核</x:v>
      </x:c>
      <x:c r="X90" s="36" t="str"/>
      <x:c r="Y90" s="36" t="str">
        <x:v>https://universe.leagueoflegends.com/en_US/champion/kayn/</x:v>
      </x:c>
    </x:row>
    <x:row r="91" ht="68" customHeight="1">
      <x:c r="A91" s="24" t="str">
        <x:v>ION_KAYN_WARN</x:v>
      </x:c>
      <x:c r="B91" s="24" t="str">
        <x:v>kayn</x:v>
      </x:c>
      <x:c r="C91" s="24" t="str">
        <x:v>凯隐</x:v>
      </x:c>
      <x:c r="D91" s="24" t="str">
        <x:v>WARN</x:v>
      </x:c>
      <x:c r="E91" s="24" t="str">
        <x:v>危险警告</x:v>
      </x:c>
      <x:c r="F91" s="24" t="str">
        <x:v>区域威胁或伏击即将发生</x:v>
      </x:c>
      <x:c r="G91" s="24" t="str">
        <x:v>玩家</x:v>
      </x:c>
      <x:c r="H91" s="24" t="str">
        <x:v>紧张</x:v>
      </x:c>
      <x:c r="I91" s="24" t="str">
        <x:v>警觉</x:v>
      </x:c>
      <x:c r="J91" s="24" t="n">
        <x:v>3</x:v>
      </x:c>
      <x:c r="K91" s="30" t="str">
        <x:v>有东西藏在影子里。可惜，它挑错了藏身之处。</x:v>
      </x:c>
      <x:c r="L91" s="30" t="str">
        <x:v>保持挑衅、简短、带优越感；不可与拉亚斯特使用同一处理</x:v>
      </x:c>
      <x:c r="M91" s="30" t="n">
        <x:v>3</x:v>
      </x:c>
      <x:c r="N91" s="30" t="n">
        <x:v>0</x:v>
      </x:c>
      <x:c r="O91" s="30" t="str">
        <x:v>不限</x:v>
      </x:c>
      <x:c r="P91" s="30" t="str">
        <x:v>不限</x:v>
      </x:c>
      <x:c r="Q91" s="30" t="str">
        <x:v>否</x:v>
      </x:c>
      <x:c r="R91" s="30" t="n">
        <x:v>10</x:v>
      </x:c>
      <x:c r="S91" s="30" t="str">
        <x:v>destiny</x:v>
      </x:c>
      <x:c r="T91" s="30" t="str">
        <x:v>breaker</x:v>
      </x:c>
      <x:c r="U91" s="30" t="n">
        <x:v>3</x:v>
      </x:c>
      <x:c r="V91" s="36" t="str">
        <x:f>A91&amp;".wav"</x:f>
        <x:v>ION_KAYN_WARN.wav</x:v>
      </x:c>
      <x:c r="W91" s="36" t="str">
        <x:v>待审核</x:v>
      </x:c>
      <x:c r="X91" s="36" t="str"/>
      <x:c r="Y91" s="36" t="str">
        <x:v>https://universe.leagueoflegends.com/en_US/champion/kayn/</x:v>
      </x:c>
    </x:row>
    <x:row r="92" ht="68" customHeight="1">
      <x:c r="A92" s="24" t="str">
        <x:v>ION_KAYN_REFUSE</x:v>
      </x:c>
      <x:c r="B92" s="24" t="str">
        <x:v>kayn</x:v>
      </x:c>
      <x:c r="C92" s="24" t="str">
        <x:v>凯隐</x:v>
      </x:c>
      <x:c r="D92" s="24" t="str">
        <x:v>REFUSE</x:v>
      </x:c>
      <x:c r="E92" s="24" t="str">
        <x:v>拒绝请求</x:v>
      </x:c>
      <x:c r="F92" s="24" t="str">
        <x:v>玩家请求触碰角色底线</x:v>
      </x:c>
      <x:c r="G92" s="24" t="str">
        <x:v>玩家</x:v>
      </x:c>
      <x:c r="H92" s="24" t="str">
        <x:v>拒绝</x:v>
      </x:c>
      <x:c r="I92" s="24" t="str">
        <x:v>厌恶</x:v>
      </x:c>
      <x:c r="J92" s="24" t="n">
        <x:v>3</x:v>
      </x:c>
      <x:c r="K92" s="30" t="str">
        <x:v>你的任务配不上我的时间，更配不上这把武器。</x:v>
      </x:c>
      <x:c r="L92" s="30" t="str">
        <x:v>保持挑衅、简短、带优越感；不可与拉亚斯特使用同一处理</x:v>
      </x:c>
      <x:c r="M92" s="30" t="n">
        <x:v>4</x:v>
      </x:c>
      <x:c r="N92" s="30" t="n">
        <x:v>-20</x:v>
      </x:c>
      <x:c r="O92" s="30" t="str">
        <x:v>不限</x:v>
      </x:c>
      <x:c r="P92" s="30" t="str">
        <x:v>不限</x:v>
      </x:c>
      <x:c r="Q92" s="30" t="str">
        <x:v>否</x:v>
      </x:c>
      <x:c r="R92" s="30" t="n">
        <x:v>10</x:v>
      </x:c>
      <x:c r="S92" s="30" t="str">
        <x:v>freedom</x:v>
      </x:c>
      <x:c r="T92" s="30" t="str">
        <x:v>wanderer</x:v>
      </x:c>
      <x:c r="U92" s="30" t="n">
        <x:v>3</x:v>
      </x:c>
      <x:c r="V92" s="36" t="str">
        <x:f>A92&amp;".wav"</x:f>
        <x:v>ION_KAYN_REFUSE.wav</x:v>
      </x:c>
      <x:c r="W92" s="36" t="str">
        <x:v>待审核</x:v>
      </x:c>
      <x:c r="X92" s="36" t="str"/>
      <x:c r="Y92" s="36" t="str">
        <x:v>https://universe.leagueoflegends.com/en_US/champion/kayn/</x:v>
      </x:c>
    </x:row>
    <x:row r="93" ht="68" customHeight="1">
      <x:c r="A93" s="24" t="str">
        <x:v>ION_KAYN_TRUST</x:v>
      </x:c>
      <x:c r="B93" s="24" t="str">
        <x:v>kayn</x:v>
      </x:c>
      <x:c r="C93" s="24" t="str">
        <x:v>凯隐</x:v>
      </x:c>
      <x:c r="D93" s="24" t="str">
        <x:v>TRUST</x:v>
      </x:c>
      <x:c r="E93" s="24" t="str">
        <x:v>建立信任</x:v>
      </x:c>
      <x:c r="F93" s="24" t="str">
        <x:v>玩家满足角色的信任条件</x:v>
      </x:c>
      <x:c r="G93" s="24" t="str">
        <x:v>玩家</x:v>
      </x:c>
      <x:c r="H93" s="24" t="str">
        <x:v>信任</x:v>
      </x:c>
      <x:c r="I93" s="24" t="str">
        <x:v>柔和</x:v>
      </x:c>
      <x:c r="J93" s="24" t="n">
        <x:v>3</x:v>
      </x:c>
      <x:c r="K93" s="30" t="str">
        <x:v>跟紧我的影子。丢了，我不会回头找你。</x:v>
      </x:c>
      <x:c r="L93" s="30" t="str">
        <x:v>保持挑衅、简短、带优越感；不可与拉亚斯特使用同一处理</x:v>
      </x:c>
      <x:c r="M93" s="30" t="n">
        <x:v>5</x:v>
      </x:c>
      <x:c r="N93" s="30" t="n">
        <x:v>40</x:v>
      </x:c>
      <x:c r="O93" s="30" t="str">
        <x:v>不限</x:v>
      </x:c>
      <x:c r="P93" s="30" t="str">
        <x:v>不限</x:v>
      </x:c>
      <x:c r="Q93" s="30" t="str">
        <x:v>是</x:v>
      </x:c>
      <x:c r="R93" s="30" t="n">
        <x:v>10</x:v>
      </x:c>
      <x:c r="S93" s="30" t="str">
        <x:v>peace</x:v>
      </x:c>
      <x:c r="T93" s="30" t="str">
        <x:v>guardian</x:v>
      </x:c>
      <x:c r="U93" s="30" t="n">
        <x:v>0</x:v>
      </x:c>
      <x:c r="V93" s="36" t="str">
        <x:f>A93&amp;".wav"</x:f>
        <x:v>ION_KAYN_TRUST.wav</x:v>
      </x:c>
      <x:c r="W93" s="36" t="str">
        <x:v>待审核</x:v>
      </x:c>
      <x:c r="X93" s="36" t="str"/>
      <x:c r="Y93" s="36" t="str">
        <x:v>https://universe.leagueoflegends.com/en_US/champion/kayn/</x:v>
      </x:c>
    </x:row>
    <x:row r="94" ht="68" customHeight="1">
      <x:c r="A94" s="24" t="str">
        <x:v>ION_KAYN_ANGER</x:v>
      </x:c>
      <x:c r="B94" s="24" t="str">
        <x:v>kayn</x:v>
      </x:c>
      <x:c r="C94" s="24" t="str">
        <x:v>凯隐</x:v>
      </x:c>
      <x:c r="D94" s="24" t="str">
        <x:v>ANGER</x:v>
      </x:c>
      <x:c r="E94" s="24" t="str">
        <x:v>被激怒</x:v>
      </x:c>
      <x:c r="F94" s="24" t="str">
        <x:v>玩家触发角色主要怒点</x:v>
      </x:c>
      <x:c r="G94" s="24" t="str">
        <x:v>玩家</x:v>
      </x:c>
      <x:c r="H94" s="24" t="str">
        <x:v>愤怒</x:v>
      </x:c>
      <x:c r="I94" s="24" t="str">
        <x:v>受伤</x:v>
      </x:c>
      <x:c r="J94" s="24" t="n">
        <x:v>4</x:v>
      </x:c>
      <x:c r="K94" s="30" t="str">
        <x:v>再质疑一次我的掌控力，我就让你亲眼看看答案。</x:v>
      </x:c>
      <x:c r="L94" s="30" t="str">
        <x:v>保持挑衅、简短、带优越感；不可与拉亚斯特使用同一处理</x:v>
      </x:c>
      <x:c r="M94" s="30" t="n">
        <x:v>4</x:v>
      </x:c>
      <x:c r="N94" s="30" t="n">
        <x:v>-20</x:v>
      </x:c>
      <x:c r="O94" s="30" t="str">
        <x:v>不限</x:v>
      </x:c>
      <x:c r="P94" s="30" t="str">
        <x:v>不限</x:v>
      </x:c>
      <x:c r="Q94" s="30" t="str">
        <x:v>否</x:v>
      </x:c>
      <x:c r="R94" s="30" t="n">
        <x:v>10</x:v>
      </x:c>
      <x:c r="S94" s="30" t="str">
        <x:v>power</x:v>
      </x:c>
      <x:c r="T94" s="30" t="str">
        <x:v>strong</x:v>
      </x:c>
      <x:c r="U94" s="30" t="n">
        <x:v>3</x:v>
      </x:c>
      <x:c r="V94" s="36" t="str">
        <x:f>A94&amp;".wav"</x:f>
        <x:v>ION_KAYN_ANGER.wav</x:v>
      </x:c>
      <x:c r="W94" s="36" t="str">
        <x:v>待审核</x:v>
      </x:c>
      <x:c r="X94" s="36" t="str"/>
      <x:c r="Y94" s="36" t="str">
        <x:v>https://universe.leagueoflegends.com/en_US/champion/kayn/</x:v>
      </x:c>
    </x:row>
    <x:row r="95" ht="68" customHeight="1">
      <x:c r="A95" s="24" t="str">
        <x:v>ION_KAYN_HURT</x:v>
      </x:c>
      <x:c r="B95" s="24" t="str">
        <x:v>kayn</x:v>
      </x:c>
      <x:c r="C95" s="24" t="str">
        <x:v>凯隐</x:v>
      </x:c>
      <x:c r="D95" s="24" t="str">
        <x:v>HURT</x:v>
      </x:c>
      <x:c r="E95" s="24" t="str">
        <x:v>受伤反馈</x:v>
      </x:c>
      <x:c r="F95" s="24" t="str">
        <x:v>角色受到重击但仍可行动</x:v>
      </x:c>
      <x:c r="G95" s="24" t="str">
        <x:v>玩家</x:v>
      </x:c>
      <x:c r="H95" s="24" t="str">
        <x:v>痛苦</x:v>
      </x:c>
      <x:c r="I95" s="24" t="str">
        <x:v>坚持</x:v>
      </x:c>
      <x:c r="J95" s="24" t="n">
        <x:v>4</x:v>
      </x:c>
      <x:c r="K95" s="30" t="str">
        <x:v>这点伤只会让拉亚斯特更吵。别给它更多乐趣。</x:v>
      </x:c>
      <x:c r="L95" s="30" t="str">
        <x:v>保持挑衅、简短、带优越感；不可与拉亚斯特使用同一处理</x:v>
      </x:c>
      <x:c r="M95" s="30" t="n">
        <x:v>2</x:v>
      </x:c>
      <x:c r="N95" s="30" t="n">
        <x:v>0</x:v>
      </x:c>
      <x:c r="O95" s="30" t="str">
        <x:v>不限</x:v>
      </x:c>
      <x:c r="P95" s="30" t="str">
        <x:v>不限</x:v>
      </x:c>
      <x:c r="Q95" s="30" t="str">
        <x:v>否</x:v>
      </x:c>
      <x:c r="R95" s="30" t="n">
        <x:v>10</x:v>
      </x:c>
      <x:c r="S95" s="30" t="str">
        <x:v>peace</x:v>
      </x:c>
      <x:c r="T95" s="30" t="str">
        <x:v>guardian</x:v>
      </x:c>
      <x:c r="U95" s="30" t="n">
        <x:v>3</x:v>
      </x:c>
      <x:c r="V95" s="36" t="str">
        <x:f>A95&amp;".wav"</x:f>
        <x:v>ION_KAYN_HURT.wav</x:v>
      </x:c>
      <x:c r="W95" s="36" t="str">
        <x:v>待审核</x:v>
      </x:c>
      <x:c r="X95" s="36" t="str"/>
      <x:c r="Y95" s="36" t="str">
        <x:v>https://universe.leagueoflegends.com/en_US/champion/kayn/</x:v>
      </x:c>
    </x:row>
    <x:row r="96" ht="68" customHeight="1">
      <x:c r="A96" s="24" t="str">
        <x:v>ION_KAYN_COMBAT</x:v>
      </x:c>
      <x:c r="B96" s="24" t="str">
        <x:v>kayn</x:v>
      </x:c>
      <x:c r="C96" s="24" t="str">
        <x:v>凯隐</x:v>
      </x:c>
      <x:c r="D96" s="24" t="str">
        <x:v>COMBAT</x:v>
      </x:c>
      <x:c r="E96" s="24" t="str">
        <x:v>战斗行动</x:v>
      </x:c>
      <x:c r="F96" s="24" t="str">
        <x:v>角色发动标志性行动</x:v>
      </x:c>
      <x:c r="G96" s="24" t="str">
        <x:v>玩家</x:v>
      </x:c>
      <x:c r="H96" s="24" t="str">
        <x:v>战意</x:v>
      </x:c>
      <x:c r="I96" s="24" t="str">
        <x:v>专注</x:v>
      </x:c>
      <x:c r="J96" s="24" t="n">
        <x:v>4</x:v>
      </x:c>
      <x:c r="K96" s="30" t="str">
        <x:v>退后。你的眼睛还跟不上影子杀人的速度。</x:v>
      </x:c>
      <x:c r="L96" s="30" t="str">
        <x:v>保持挑衅、简短、带优越感；不可与拉亚斯特使用同一处理</x:v>
      </x:c>
      <x:c r="M96" s="30" t="n">
        <x:v>2</x:v>
      </x:c>
      <x:c r="N96" s="30" t="n">
        <x:v>0</x:v>
      </x:c>
      <x:c r="O96" s="30" t="str">
        <x:v>不限</x:v>
      </x:c>
      <x:c r="P96" s="30" t="str">
        <x:v>不限</x:v>
      </x:c>
      <x:c r="Q96" s="30" t="str">
        <x:v>否</x:v>
      </x:c>
      <x:c r="R96" s="30" t="n">
        <x:v>10</x:v>
      </x:c>
      <x:c r="S96" s="30" t="str">
        <x:v>power</x:v>
      </x:c>
      <x:c r="T96" s="30" t="str">
        <x:v>strong</x:v>
      </x:c>
      <x:c r="U96" s="30" t="n">
        <x:v>3</x:v>
      </x:c>
      <x:c r="V96" s="36" t="str">
        <x:f>A96&amp;".wav"</x:f>
        <x:v>ION_KAYN_COMBAT.wav</x:v>
      </x:c>
      <x:c r="W96" s="36" t="str">
        <x:v>待审核</x:v>
      </x:c>
      <x:c r="X96" s="36" t="str"/>
      <x:c r="Y96" s="36" t="str">
        <x:v>https://universe.leagueoflegends.com/en_US/champion/kayn/</x:v>
      </x:c>
    </x:row>
    <x:row r="97" ht="68" customHeight="1">
      <x:c r="A97" s="24" t="str">
        <x:v>ION_KAYN_VICTORY</x:v>
      </x:c>
      <x:c r="B97" s="24" t="str">
        <x:v>kayn</x:v>
      </x:c>
      <x:c r="C97" s="24" t="str">
        <x:v>凯隐</x:v>
      </x:c>
      <x:c r="D97" s="24" t="str">
        <x:v>VICTORY</x:v>
      </x:c>
      <x:c r="E97" s="24" t="str">
        <x:v>战斗胜利</x:v>
      </x:c>
      <x:c r="F97" s="24" t="str">
        <x:v>威胁解除并进入结算</x:v>
      </x:c>
      <x:c r="G97" s="24" t="str">
        <x:v>玩家</x:v>
      </x:c>
      <x:c r="H97" s="24" t="str">
        <x:v>释然</x:v>
      </x:c>
      <x:c r="I97" s="24" t="str">
        <x:v>克制喜悦</x:v>
      </x:c>
      <x:c r="J97" s="24" t="n">
        <x:v>3</x:v>
      </x:c>
      <x:c r="K97" s="30" t="str">
        <x:v>理所当然。真正的问题是，这场胜利有没有让我更强。</x:v>
      </x:c>
      <x:c r="L97" s="30" t="str">
        <x:v>保持挑衅、简短、带优越感；不可与拉亚斯特使用同一处理</x:v>
      </x:c>
      <x:c r="M97" s="30" t="n">
        <x:v>4</x:v>
      </x:c>
      <x:c r="N97" s="30" t="n">
        <x:v>0</x:v>
      </x:c>
      <x:c r="O97" s="30" t="str">
        <x:v>不限</x:v>
      </x:c>
      <x:c r="P97" s="30" t="str">
        <x:v>不限</x:v>
      </x:c>
      <x:c r="Q97" s="30" t="str">
        <x:v>否</x:v>
      </x:c>
      <x:c r="R97" s="30" t="n">
        <x:v>10</x:v>
      </x:c>
      <x:c r="S97" s="30" t="str">
        <x:v>destiny</x:v>
      </x:c>
      <x:c r="T97" s="30" t="str">
        <x:v>breaker</x:v>
      </x:c>
      <x:c r="U97" s="30" t="n">
        <x:v>3</x:v>
      </x:c>
      <x:c r="V97" s="36" t="str">
        <x:f>A97&amp;".wav"</x:f>
        <x:v>ION_KAYN_VICTORY.wav</x:v>
      </x:c>
      <x:c r="W97" s="36" t="str">
        <x:v>待审核</x:v>
      </x:c>
      <x:c r="X97" s="36" t="str"/>
      <x:c r="Y97" s="36" t="str">
        <x:v>https://universe.leagueoflegends.com/en_US/champion/kayn/</x:v>
      </x:c>
    </x:row>
    <x:row r="98" ht="68" customHeight="1">
      <x:c r="A98" s="24" t="str">
        <x:v>ION_KAYN_DEFEAT</x:v>
      </x:c>
      <x:c r="B98" s="24" t="str">
        <x:v>kayn</x:v>
      </x:c>
      <x:c r="C98" s="24" t="str">
        <x:v>凯隐</x:v>
      </x:c>
      <x:c r="D98" s="24" t="str">
        <x:v>DEFEAT</x:v>
      </x:c>
      <x:c r="E98" s="24" t="str">
        <x:v>失败撤退</x:v>
      </x:c>
      <x:c r="F98" s="24" t="str">
        <x:v>角色被迫撤离或计划失败</x:v>
      </x:c>
      <x:c r="G98" s="24" t="str">
        <x:v>玩家</x:v>
      </x:c>
      <x:c r="H98" s="24" t="str">
        <x:v>挫败</x:v>
      </x:c>
      <x:c r="I98" s="24" t="str">
        <x:v>反思</x:v>
      </x:c>
      <x:c r="J98" s="24" t="n">
        <x:v>4</x:v>
      </x:c>
      <x:c r="K98" s="30" t="str">
        <x:v>计划被打断了，不代表我输了。下一次，影子会先到。</x:v>
      </x:c>
      <x:c r="L98" s="30" t="str">
        <x:v>保持挑衅、简短、带优越感；不可与拉亚斯特使用同一处理</x:v>
      </x:c>
      <x:c r="M98" s="30" t="n">
        <x:v>5</x:v>
      </x:c>
      <x:c r="N98" s="30" t="n">
        <x:v>0</x:v>
      </x:c>
      <x:c r="O98" s="30" t="str">
        <x:v>不限</x:v>
      </x:c>
      <x:c r="P98" s="30" t="str">
        <x:v>不限</x:v>
      </x:c>
      <x:c r="Q98" s="30" t="str">
        <x:v>否</x:v>
      </x:c>
      <x:c r="R98" s="30" t="n">
        <x:v>10</x:v>
      </x:c>
      <x:c r="S98" s="30" t="str">
        <x:v>spirit</x:v>
      </x:c>
      <x:c r="T98" s="30" t="str">
        <x:v>spirit_fate</x:v>
      </x:c>
      <x:c r="U98" s="30" t="n">
        <x:v>3</x:v>
      </x:c>
      <x:c r="V98" s="36" t="str">
        <x:f>A98&amp;".wav"</x:f>
        <x:v>ION_KAYN_DEFEAT.wav</x:v>
      </x:c>
      <x:c r="W98" s="36" t="str">
        <x:v>待审核</x:v>
      </x:c>
      <x:c r="X98" s="36" t="str"/>
      <x:c r="Y98" s="36" t="str">
        <x:v>https://universe.leagueoflegends.com/en_US/champion/kayn/</x:v>
      </x:c>
    </x:row>
    <x:row r="99" ht="68" customHeight="1">
      <x:c r="A99" s="24" t="str">
        <x:v>ION_KAYN_LORE</x:v>
      </x:c>
      <x:c r="B99" s="24" t="str">
        <x:v>kayn</x:v>
      </x:c>
      <x:c r="C99" s="24" t="str">
        <x:v>凯隐</x:v>
      </x:c>
      <x:c r="D99" s="24" t="str">
        <x:v>LORE</x:v>
      </x:c>
      <x:c r="E99" s="24" t="str">
        <x:v>世界观讲述</x:v>
      </x:c>
      <x:c r="F99" s="24" t="str">
        <x:v>玩家询问人物、地点或往事</x:v>
      </x:c>
      <x:c r="G99" s="24" t="str">
        <x:v>玩家</x:v>
      </x:c>
      <x:c r="H99" s="24" t="str">
        <x:v>叙述</x:v>
      </x:c>
      <x:c r="I99" s="24" t="str">
        <x:v>怀念</x:v>
      </x:c>
      <x:c r="J99" s="24" t="n">
        <x:v>2</x:v>
      </x:c>
      <x:c r="K99" s="30" t="str">
        <x:v>力量从不要求许可；只有弱者才需要别人承认它属于自己。</x:v>
      </x:c>
      <x:c r="L99" s="30" t="str">
        <x:v>保持挑衅、简短、带优越感；不可与拉亚斯特使用同一处理</x:v>
      </x:c>
      <x:c r="M99" s="30" t="n">
        <x:v>8</x:v>
      </x:c>
      <x:c r="N99" s="30" t="n">
        <x:v>0</x:v>
      </x:c>
      <x:c r="O99" s="30" t="str">
        <x:v>不限</x:v>
      </x:c>
      <x:c r="P99" s="30" t="str">
        <x:v>不限</x:v>
      </x:c>
      <x:c r="Q99" s="30" t="str">
        <x:v>是</x:v>
      </x:c>
      <x:c r="R99" s="30" t="n">
        <x:v>10</x:v>
      </x:c>
      <x:c r="S99" s="30" t="str">
        <x:v>spirit</x:v>
      </x:c>
      <x:c r="T99" s="30" t="str">
        <x:v>spirit_fate</x:v>
      </x:c>
      <x:c r="U99" s="30" t="n">
        <x:v>0</x:v>
      </x:c>
      <x:c r="V99" s="36" t="str">
        <x:f>A99&amp;".wav"</x:f>
        <x:v>ION_KAYN_LORE.wav</x:v>
      </x:c>
      <x:c r="W99" s="36" t="str">
        <x:v>待审核</x:v>
      </x:c>
      <x:c r="X99" s="36" t="str"/>
      <x:c r="Y99" s="36" t="str">
        <x:v>https://universe.leagueoflegends.com/en_US/champion/kayn/</x:v>
      </x:c>
    </x:row>
    <x:row r="100" ht="68" customHeight="1">
      <x:c r="A100" s="24" t="str">
        <x:v>ION_KAYN_FAREWELL</x:v>
      </x:c>
      <x:c r="B100" s="24" t="str">
        <x:v>kayn</x:v>
      </x:c>
      <x:c r="C100" s="24" t="str">
        <x:v>凯隐</x:v>
      </x:c>
      <x:c r="D100" s="24" t="str">
        <x:v>FAREWELL</x:v>
      </x:c>
      <x:c r="E100" s="24" t="str">
        <x:v>阶段告别</x:v>
      </x:c>
      <x:c r="F100" s="24" t="str">
        <x:v>事件结束或角色离开队伍</x:v>
      </x:c>
      <x:c r="G100" s="24" t="str">
        <x:v>玩家</x:v>
      </x:c>
      <x:c r="H100" s="24" t="str">
        <x:v>告别</x:v>
      </x:c>
      <x:c r="I100" s="24" t="str">
        <x:v>复杂</x:v>
      </x:c>
      <x:c r="J100" s="24" t="n">
        <x:v>3</x:v>
      </x:c>
      <x:c r="K100" s="30" t="str">
        <x:v>我去找更值得挑战的东西。别死得太早。</x:v>
      </x:c>
      <x:c r="L100" s="30" t="str">
        <x:v>保持挑衅、简短、带优越感；不可与拉亚斯特使用同一处理</x:v>
      </x:c>
      <x:c r="M100" s="30" t="n">
        <x:v>5</x:v>
      </x:c>
      <x:c r="N100" s="30" t="n">
        <x:v>0</x:v>
      </x:c>
      <x:c r="O100" s="30" t="str">
        <x:v>不限</x:v>
      </x:c>
      <x:c r="P100" s="30" t="str">
        <x:v>不限</x:v>
      </x:c>
      <x:c r="Q100" s="30" t="str">
        <x:v>否</x:v>
      </x:c>
      <x:c r="R100" s="30" t="n">
        <x:v>10</x:v>
      </x:c>
      <x:c r="S100" s="30" t="str">
        <x:v>freedom</x:v>
      </x:c>
      <x:c r="T100" s="30" t="str">
        <x:v>wanderer</x:v>
      </x:c>
      <x:c r="U100" s="30" t="n">
        <x:v>3</x:v>
      </x:c>
      <x:c r="V100" s="36" t="str">
        <x:f>A100&amp;".wav"</x:f>
        <x:v>ION_KAYN_FAREWELL.wav</x:v>
      </x:c>
      <x:c r="W100" s="36" t="str">
        <x:v>待审核</x:v>
      </x:c>
      <x:c r="X100" s="36" t="str"/>
      <x:c r="Y100" s="36" t="str">
        <x:v>https://universe.leagueoflegends.com/en_US/champion/kayn/</x:v>
      </x:c>
    </x:row>
    <x:row r="101" ht="68" customHeight="1">
      <x:c r="A101" s="24" t="str">
        <x:v>ION_KENNEN_MEET</x:v>
      </x:c>
      <x:c r="B101" s="24" t="str">
        <x:v>kennen</x:v>
      </x:c>
      <x:c r="C101" s="24" t="str">
        <x:v>凯南</x:v>
      </x:c>
      <x:c r="D101" s="24" t="str">
        <x:v>MEET</x:v>
      </x:c>
      <x:c r="E101" s="24" t="str">
        <x:v>初次相遇</x:v>
      </x:c>
      <x:c r="F101" s="24" t="str">
        <x:v>玩家第一次接近角色</x:v>
      </x:c>
      <x:c r="G101" s="24" t="str">
        <x:v>玩家</x:v>
      </x:c>
      <x:c r="H101" s="24" t="str">
        <x:v>审视</x:v>
      </x:c>
      <x:c r="I101" s="24" t="str">
        <x:v>中性</x:v>
      </x:c>
      <x:c r="J101" s="24" t="n">
        <x:v>2</x:v>
      </x:c>
      <x:c r="K101" s="30" t="str">
        <x:v>嘿，脚步放轻些。你差一点踩到两个世界的交界。</x:v>
      </x:c>
      <x:c r="L101" s="30" t="str">
        <x:v>保持敏捷明快，偶尔以年长视角点拨；不可因约德尔身份使用幼童声</x:v>
      </x:c>
      <x:c r="M101" s="30" t="n">
        <x:v>4</x:v>
      </x:c>
      <x:c r="N101" s="30" t="n">
        <x:v>0</x:v>
      </x:c>
      <x:c r="O101" s="30" t="str">
        <x:v>不限</x:v>
      </x:c>
      <x:c r="P101" s="30" t="str">
        <x:v>不限</x:v>
      </x:c>
      <x:c r="Q101" s="30" t="str">
        <x:v>是</x:v>
      </x:c>
      <x:c r="R101" s="30" t="n">
        <x:v>10</x:v>
      </x:c>
      <x:c r="S101" s="30" t="str">
        <x:v>destiny</x:v>
      </x:c>
      <x:c r="T101" s="30" t="str">
        <x:v>breaker</x:v>
      </x:c>
      <x:c r="U101" s="30" t="n">
        <x:v>0</x:v>
      </x:c>
      <x:c r="V101" s="36" t="str">
        <x:f>A101&amp;".wav"</x:f>
        <x:v>ION_KENNEN_MEET.wav</x:v>
      </x:c>
      <x:c r="W101" s="36" t="str">
        <x:v>待审核</x:v>
      </x:c>
      <x:c r="X101" s="36" t="str"/>
      <x:c r="Y101" s="36" t="str">
        <x:v>https://universe.leagueoflegends.com/en_US/champion/kennen/</x:v>
      </x:c>
    </x:row>
    <x:row r="102" ht="68" customHeight="1">
      <x:c r="A102" s="24" t="str">
        <x:v>ION_KENNEN_GREET</x:v>
      </x:c>
      <x:c r="B102" s="24" t="str">
        <x:v>kennen</x:v>
      </x:c>
      <x:c r="C102" s="24" t="str">
        <x:v>凯南</x:v>
      </x:c>
      <x:c r="D102" s="24" t="str">
        <x:v>GREET</x:v>
      </x:c>
      <x:c r="E102" s="24" t="str">
        <x:v>友好问候</x:v>
      </x:c>
      <x:c r="F102" s="24" t="str">
        <x:v>关系值达到友好后进入对话</x:v>
      </x:c>
      <x:c r="G102" s="24" t="str">
        <x:v>玩家</x:v>
      </x:c>
      <x:c r="H102" s="24" t="str">
        <x:v>友善</x:v>
      </x:c>
      <x:c r="I102" s="24" t="str">
        <x:v>喜悦</x:v>
      </x:c>
      <x:c r="J102" s="24" t="n">
        <x:v>2</x:v>
      </x:c>
      <x:c r="K102" s="30" t="str">
        <x:v>见到你真好！至少今天不用从屋顶把你拽下来。</x:v>
      </x:c>
      <x:c r="L102" s="30" t="str">
        <x:v>保持敏捷明快，偶尔以年长视角点拨；不可因约德尔身份使用幼童声</x:v>
      </x:c>
      <x:c r="M102" s="30" t="n">
        <x:v>3</x:v>
      </x:c>
      <x:c r="N102" s="30" t="n">
        <x:v>10</x:v>
      </x:c>
      <x:c r="O102" s="30" t="str">
        <x:v>不限</x:v>
      </x:c>
      <x:c r="P102" s="30" t="str">
        <x:v>不限</x:v>
      </x:c>
      <x:c r="Q102" s="30" t="str">
        <x:v>否</x:v>
      </x:c>
      <x:c r="R102" s="30" t="n">
        <x:v>10</x:v>
      </x:c>
      <x:c r="S102" s="30" t="str">
        <x:v>peace</x:v>
      </x:c>
      <x:c r="T102" s="30" t="str">
        <x:v>guardian</x:v>
      </x:c>
      <x:c r="U102" s="30" t="n">
        <x:v>3</x:v>
      </x:c>
      <x:c r="V102" s="36" t="str">
        <x:f>A102&amp;".wav"</x:f>
        <x:v>ION_KENNEN_GREET.wav</x:v>
      </x:c>
      <x:c r="W102" s="36" t="str">
        <x:v>待审核</x:v>
      </x:c>
      <x:c r="X102" s="36" t="str"/>
      <x:c r="Y102" s="36" t="str">
        <x:v>https://universe.leagueoflegends.com/en_US/champion/kennen/</x:v>
      </x:c>
    </x:row>
    <x:row r="103" ht="68" customHeight="1">
      <x:c r="A103" s="24" t="str">
        <x:v>ION_KENNEN_WARN</x:v>
      </x:c>
      <x:c r="B103" s="24" t="str">
        <x:v>kennen</x:v>
      </x:c>
      <x:c r="C103" s="24" t="str">
        <x:v>凯南</x:v>
      </x:c>
      <x:c r="D103" s="24" t="str">
        <x:v>WARN</x:v>
      </x:c>
      <x:c r="E103" s="24" t="str">
        <x:v>危险警告</x:v>
      </x:c>
      <x:c r="F103" s="24" t="str">
        <x:v>区域威胁或伏击即将发生</x:v>
      </x:c>
      <x:c r="G103" s="24" t="str">
        <x:v>玩家</x:v>
      </x:c>
      <x:c r="H103" s="24" t="str">
        <x:v>紧张</x:v>
      </x:c>
      <x:c r="I103" s="24" t="str">
        <x:v>警觉</x:v>
      </x:c>
      <x:c r="J103" s="24" t="n">
        <x:v>3</x:v>
      </x:c>
      <x:c r="K103" s="30" t="str">
        <x:v>空气里的电味不对。有人正在撕开不该开的缝。</x:v>
      </x:c>
      <x:c r="L103" s="30" t="str">
        <x:v>保持敏捷明快，偶尔以年长视角点拨；不可因约德尔身份使用幼童声</x:v>
      </x:c>
      <x:c r="M103" s="30" t="n">
        <x:v>3</x:v>
      </x:c>
      <x:c r="N103" s="30" t="n">
        <x:v>0</x:v>
      </x:c>
      <x:c r="O103" s="30" t="str">
        <x:v>不限</x:v>
      </x:c>
      <x:c r="P103" s="30" t="str">
        <x:v>不限</x:v>
      </x:c>
      <x:c r="Q103" s="30" t="str">
        <x:v>否</x:v>
      </x:c>
      <x:c r="R103" s="30" t="n">
        <x:v>10</x:v>
      </x:c>
      <x:c r="S103" s="30" t="str">
        <x:v>destiny</x:v>
      </x:c>
      <x:c r="T103" s="30" t="str">
        <x:v>breaker</x:v>
      </x:c>
      <x:c r="U103" s="30" t="n">
        <x:v>3</x:v>
      </x:c>
      <x:c r="V103" s="36" t="str">
        <x:f>A103&amp;".wav"</x:f>
        <x:v>ION_KENNEN_WARN.wav</x:v>
      </x:c>
      <x:c r="W103" s="36" t="str">
        <x:v>待审核</x:v>
      </x:c>
      <x:c r="X103" s="36" t="str"/>
      <x:c r="Y103" s="36" t="str">
        <x:v>https://universe.leagueoflegends.com/en_US/champion/kennen/</x:v>
      </x:c>
    </x:row>
    <x:row r="104" ht="68" customHeight="1">
      <x:c r="A104" s="24" t="str">
        <x:v>ION_KENNEN_REFUSE</x:v>
      </x:c>
      <x:c r="B104" s="24" t="str">
        <x:v>kennen</x:v>
      </x:c>
      <x:c r="C104" s="24" t="str">
        <x:v>凯南</x:v>
      </x:c>
      <x:c r="D104" s="24" t="str">
        <x:v>REFUSE</x:v>
      </x:c>
      <x:c r="E104" s="24" t="str">
        <x:v>拒绝请求</x:v>
      </x:c>
      <x:c r="F104" s="24" t="str">
        <x:v>玩家请求触碰角色底线</x:v>
      </x:c>
      <x:c r="G104" s="24" t="str">
        <x:v>玩家</x:v>
      </x:c>
      <x:c r="H104" s="24" t="str">
        <x:v>拒绝</x:v>
      </x:c>
      <x:c r="I104" s="24" t="str">
        <x:v>厌恶</x:v>
      </x:c>
      <x:c r="J104" s="24" t="n">
        <x:v>3</x:v>
      </x:c>
      <x:c r="K104" s="30" t="str">
        <x:v>这件事会破坏均衡，而且不是那种能靠道歉修好的破坏。</x:v>
      </x:c>
      <x:c r="L104" s="30" t="str">
        <x:v>保持敏捷明快，偶尔以年长视角点拨；不可因约德尔身份使用幼童声</x:v>
      </x:c>
      <x:c r="M104" s="30" t="n">
        <x:v>4</x:v>
      </x:c>
      <x:c r="N104" s="30" t="n">
        <x:v>-20</x:v>
      </x:c>
      <x:c r="O104" s="30" t="str">
        <x:v>不限</x:v>
      </x:c>
      <x:c r="P104" s="30" t="str">
        <x:v>不限</x:v>
      </x:c>
      <x:c r="Q104" s="30" t="str">
        <x:v>否</x:v>
      </x:c>
      <x:c r="R104" s="30" t="n">
        <x:v>10</x:v>
      </x:c>
      <x:c r="S104" s="30" t="str">
        <x:v>freedom</x:v>
      </x:c>
      <x:c r="T104" s="30" t="str">
        <x:v>wanderer</x:v>
      </x:c>
      <x:c r="U104" s="30" t="n">
        <x:v>3</x:v>
      </x:c>
      <x:c r="V104" s="36" t="str">
        <x:f>A104&amp;".wav"</x:f>
        <x:v>ION_KENNEN_REFUSE.wav</x:v>
      </x:c>
      <x:c r="W104" s="36" t="str">
        <x:v>待审核</x:v>
      </x:c>
      <x:c r="X104" s="36" t="str"/>
      <x:c r="Y104" s="36" t="str">
        <x:v>https://universe.leagueoflegends.com/en_US/champion/kennen/</x:v>
      </x:c>
    </x:row>
    <x:row r="105" ht="68" customHeight="1">
      <x:c r="A105" s="24" t="str">
        <x:v>ION_KENNEN_TRUST</x:v>
      </x:c>
      <x:c r="B105" s="24" t="str">
        <x:v>kennen</x:v>
      </x:c>
      <x:c r="C105" s="24" t="str">
        <x:v>凯南</x:v>
      </x:c>
      <x:c r="D105" s="24" t="str">
        <x:v>TRUST</x:v>
      </x:c>
      <x:c r="E105" s="24" t="str">
        <x:v>建立信任</x:v>
      </x:c>
      <x:c r="F105" s="24" t="str">
        <x:v>玩家满足角色的信任条件</x:v>
      </x:c>
      <x:c r="G105" s="24" t="str">
        <x:v>玩家</x:v>
      </x:c>
      <x:c r="H105" s="24" t="str">
        <x:v>信任</x:v>
      </x:c>
      <x:c r="I105" s="24" t="str">
        <x:v>柔和</x:v>
      </x:c>
      <x:c r="J105" s="24" t="n">
        <x:v>3</x:v>
      </x:c>
      <x:c r="K105" s="30" t="str">
        <x:v>慎信任你的判断，我也愿意试试。可别让我们两个都难堪。</x:v>
      </x:c>
      <x:c r="L105" s="30" t="str">
        <x:v>保持敏捷明快，偶尔以年长视角点拨；不可因约德尔身份使用幼童声</x:v>
      </x:c>
      <x:c r="M105" s="30" t="n">
        <x:v>5</x:v>
      </x:c>
      <x:c r="N105" s="30" t="n">
        <x:v>40</x:v>
      </x:c>
      <x:c r="O105" s="30" t="str">
        <x:v>不限</x:v>
      </x:c>
      <x:c r="P105" s="30" t="str">
        <x:v>不限</x:v>
      </x:c>
      <x:c r="Q105" s="30" t="str">
        <x:v>是</x:v>
      </x:c>
      <x:c r="R105" s="30" t="n">
        <x:v>10</x:v>
      </x:c>
      <x:c r="S105" s="30" t="str">
        <x:v>peace</x:v>
      </x:c>
      <x:c r="T105" s="30" t="str">
        <x:v>guardian</x:v>
      </x:c>
      <x:c r="U105" s="30" t="n">
        <x:v>0</x:v>
      </x:c>
      <x:c r="V105" s="36" t="str">
        <x:f>A105&amp;".wav"</x:f>
        <x:v>ION_KENNEN_TRUST.wav</x:v>
      </x:c>
      <x:c r="W105" s="36" t="str">
        <x:v>待审核</x:v>
      </x:c>
      <x:c r="X105" s="36" t="str"/>
      <x:c r="Y105" s="36" t="str">
        <x:v>https://universe.leagueoflegends.com/en_US/champion/kennen/</x:v>
      </x:c>
    </x:row>
    <x:row r="106" ht="68" customHeight="1">
      <x:c r="A106" s="24" t="str">
        <x:v>ION_KENNEN_ANGER</x:v>
      </x:c>
      <x:c r="B106" s="24" t="str">
        <x:v>kennen</x:v>
      </x:c>
      <x:c r="C106" s="24" t="str">
        <x:v>凯南</x:v>
      </x:c>
      <x:c r="D106" s="24" t="str">
        <x:v>ANGER</x:v>
      </x:c>
      <x:c r="E106" s="24" t="str">
        <x:v>被激怒</x:v>
      </x:c>
      <x:c r="F106" s="24" t="str">
        <x:v>玩家触发角色主要怒点</x:v>
      </x:c>
      <x:c r="G106" s="24" t="str">
        <x:v>玩家</x:v>
      </x:c>
      <x:c r="H106" s="24" t="str">
        <x:v>愤怒</x:v>
      </x:c>
      <x:c r="I106" s="24" t="str">
        <x:v>受伤</x:v>
      </x:c>
      <x:c r="J106" s="24" t="n">
        <x:v>4</x:v>
      </x:c>
      <x:c r="K106" s="30" t="str">
        <x:v>年轻不是鲁莽的借口——我见过这个借口害死太多人。</x:v>
      </x:c>
      <x:c r="L106" s="30" t="str">
        <x:v>保持敏捷明快，偶尔以年长视角点拨；不可因约德尔身份使用幼童声</x:v>
      </x:c>
      <x:c r="M106" s="30" t="n">
        <x:v>4</x:v>
      </x:c>
      <x:c r="N106" s="30" t="n">
        <x:v>-20</x:v>
      </x:c>
      <x:c r="O106" s="30" t="str">
        <x:v>不限</x:v>
      </x:c>
      <x:c r="P106" s="30" t="str">
        <x:v>不限</x:v>
      </x:c>
      <x:c r="Q106" s="30" t="str">
        <x:v>否</x:v>
      </x:c>
      <x:c r="R106" s="30" t="n">
        <x:v>10</x:v>
      </x:c>
      <x:c r="S106" s="30" t="str">
        <x:v>power</x:v>
      </x:c>
      <x:c r="T106" s="30" t="str">
        <x:v>strong</x:v>
      </x:c>
      <x:c r="U106" s="30" t="n">
        <x:v>3</x:v>
      </x:c>
      <x:c r="V106" s="36" t="str">
        <x:f>A106&amp;".wav"</x:f>
        <x:v>ION_KENNEN_ANGER.wav</x:v>
      </x:c>
      <x:c r="W106" s="36" t="str">
        <x:v>待审核</x:v>
      </x:c>
      <x:c r="X106" s="36" t="str"/>
      <x:c r="Y106" s="36" t="str">
        <x:v>https://universe.leagueoflegends.com/en_US/champion/kennen/</x:v>
      </x:c>
    </x:row>
    <x:row r="107" ht="68" customHeight="1">
      <x:c r="A107" s="24" t="str">
        <x:v>ION_KENNEN_HURT</x:v>
      </x:c>
      <x:c r="B107" s="24" t="str">
        <x:v>kennen</x:v>
      </x:c>
      <x:c r="C107" s="24" t="str">
        <x:v>凯南</x:v>
      </x:c>
      <x:c r="D107" s="24" t="str">
        <x:v>HURT</x:v>
      </x:c>
      <x:c r="E107" s="24" t="str">
        <x:v>受伤反馈</x:v>
      </x:c>
      <x:c r="F107" s="24" t="str">
        <x:v>角色受到重击但仍可行动</x:v>
      </x:c>
      <x:c r="G107" s="24" t="str">
        <x:v>玩家</x:v>
      </x:c>
      <x:c r="H107" s="24" t="str">
        <x:v>痛苦</x:v>
      </x:c>
      <x:c r="I107" s="24" t="str">
        <x:v>坚持</x:v>
      </x:c>
      <x:c r="J107" s="24" t="n">
        <x:v>4</x:v>
      </x:c>
      <x:c r="K107" s="30" t="str">
        <x:v>毛都竖起来了……放心，是雷电，不全是疼。</x:v>
      </x:c>
      <x:c r="L107" s="30" t="str">
        <x:v>保持敏捷明快，偶尔以年长视角点拨；不可因约德尔身份使用幼童声</x:v>
      </x:c>
      <x:c r="M107" s="30" t="n">
        <x:v>2</x:v>
      </x:c>
      <x:c r="N107" s="30" t="n">
        <x:v>0</x:v>
      </x:c>
      <x:c r="O107" s="30" t="str">
        <x:v>不限</x:v>
      </x:c>
      <x:c r="P107" s="30" t="str">
        <x:v>不限</x:v>
      </x:c>
      <x:c r="Q107" s="30" t="str">
        <x:v>否</x:v>
      </x:c>
      <x:c r="R107" s="30" t="n">
        <x:v>10</x:v>
      </x:c>
      <x:c r="S107" s="30" t="str">
        <x:v>peace</x:v>
      </x:c>
      <x:c r="T107" s="30" t="str">
        <x:v>guardian</x:v>
      </x:c>
      <x:c r="U107" s="30" t="n">
        <x:v>3</x:v>
      </x:c>
      <x:c r="V107" s="36" t="str">
        <x:f>A107&amp;".wav"</x:f>
        <x:v>ION_KENNEN_HURT.wav</x:v>
      </x:c>
      <x:c r="W107" s="36" t="str">
        <x:v>待审核</x:v>
      </x:c>
      <x:c r="X107" s="36" t="str"/>
      <x:c r="Y107" s="36" t="str">
        <x:v>https://universe.leagueoflegends.com/en_US/champion/kennen/</x:v>
      </x:c>
    </x:row>
    <x:row r="108" ht="68" customHeight="1">
      <x:c r="A108" s="24" t="str">
        <x:v>ION_KENNEN_COMBAT</x:v>
      </x:c>
      <x:c r="B108" s="24" t="str">
        <x:v>kennen</x:v>
      </x:c>
      <x:c r="C108" s="24" t="str">
        <x:v>凯南</x:v>
      </x:c>
      <x:c r="D108" s="24" t="str">
        <x:v>COMBAT</x:v>
      </x:c>
      <x:c r="E108" s="24" t="str">
        <x:v>战斗行动</x:v>
      </x:c>
      <x:c r="F108" s="24" t="str">
        <x:v>角色发动标志性行动</x:v>
      </x:c>
      <x:c r="G108" s="24" t="str">
        <x:v>玩家</x:v>
      </x:c>
      <x:c r="H108" s="24" t="str">
        <x:v>战意</x:v>
      </x:c>
      <x:c r="I108" s="24" t="str">
        <x:v>专注</x:v>
      </x:c>
      <x:c r="J108" s="24" t="n">
        <x:v>4</x:v>
      </x:c>
      <x:c r="K108" s="30" t="str">
        <x:v>向左！我让闪电替你封住右边。</x:v>
      </x:c>
      <x:c r="L108" s="30" t="str">
        <x:v>保持敏捷明快，偶尔以年长视角点拨；不可因约德尔身份使用幼童声</x:v>
      </x:c>
      <x:c r="M108" s="30" t="n">
        <x:v>2</x:v>
      </x:c>
      <x:c r="N108" s="30" t="n">
        <x:v>0</x:v>
      </x:c>
      <x:c r="O108" s="30" t="str">
        <x:v>不限</x:v>
      </x:c>
      <x:c r="P108" s="30" t="str">
        <x:v>不限</x:v>
      </x:c>
      <x:c r="Q108" s="30" t="str">
        <x:v>否</x:v>
      </x:c>
      <x:c r="R108" s="30" t="n">
        <x:v>10</x:v>
      </x:c>
      <x:c r="S108" s="30" t="str">
        <x:v>power</x:v>
      </x:c>
      <x:c r="T108" s="30" t="str">
        <x:v>strong</x:v>
      </x:c>
      <x:c r="U108" s="30" t="n">
        <x:v>3</x:v>
      </x:c>
      <x:c r="V108" s="36" t="str">
        <x:f>A108&amp;".wav"</x:f>
        <x:v>ION_KENNEN_COMBAT.wav</x:v>
      </x:c>
      <x:c r="W108" s="36" t="str">
        <x:v>待审核</x:v>
      </x:c>
      <x:c r="X108" s="36" t="str"/>
      <x:c r="Y108" s="36" t="str">
        <x:v>https://universe.leagueoflegends.com/en_US/champion/kennen/</x:v>
      </x:c>
    </x:row>
    <x:row r="109" ht="68" customHeight="1">
      <x:c r="A109" s="24" t="str">
        <x:v>ION_KENNEN_VICTORY</x:v>
      </x:c>
      <x:c r="B109" s="24" t="str">
        <x:v>kennen</x:v>
      </x:c>
      <x:c r="C109" s="24" t="str">
        <x:v>凯南</x:v>
      </x:c>
      <x:c r="D109" s="24" t="str">
        <x:v>VICTORY</x:v>
      </x:c>
      <x:c r="E109" s="24" t="str">
        <x:v>战斗胜利</x:v>
      </x:c>
      <x:c r="F109" s="24" t="str">
        <x:v>威胁解除并进入结算</x:v>
      </x:c>
      <x:c r="G109" s="24" t="str">
        <x:v>玩家</x:v>
      </x:c>
      <x:c r="H109" s="24" t="str">
        <x:v>释然</x:v>
      </x:c>
      <x:c r="I109" s="24" t="str">
        <x:v>克制喜悦</x:v>
      </x:c>
      <x:c r="J109" s="24" t="n">
        <x:v>3</x:v>
      </x:c>
      <x:c r="K109" s="30" t="str">
        <x:v>干得好。速度够快，心也没有被速度甩在后面。</x:v>
      </x:c>
      <x:c r="L109" s="30" t="str">
        <x:v>保持敏捷明快，偶尔以年长视角点拨；不可因约德尔身份使用幼童声</x:v>
      </x:c>
      <x:c r="M109" s="30" t="n">
        <x:v>4</x:v>
      </x:c>
      <x:c r="N109" s="30" t="n">
        <x:v>0</x:v>
      </x:c>
      <x:c r="O109" s="30" t="str">
        <x:v>不限</x:v>
      </x:c>
      <x:c r="P109" s="30" t="str">
        <x:v>不限</x:v>
      </x:c>
      <x:c r="Q109" s="30" t="str">
        <x:v>否</x:v>
      </x:c>
      <x:c r="R109" s="30" t="n">
        <x:v>10</x:v>
      </x:c>
      <x:c r="S109" s="30" t="str">
        <x:v>destiny</x:v>
      </x:c>
      <x:c r="T109" s="30" t="str">
        <x:v>breaker</x:v>
      </x:c>
      <x:c r="U109" s="30" t="n">
        <x:v>3</x:v>
      </x:c>
      <x:c r="V109" s="36" t="str">
        <x:f>A109&amp;".wav"</x:f>
        <x:v>ION_KENNEN_VICTORY.wav</x:v>
      </x:c>
      <x:c r="W109" s="36" t="str">
        <x:v>待审核</x:v>
      </x:c>
      <x:c r="X109" s="36" t="str"/>
      <x:c r="Y109" s="36" t="str">
        <x:v>https://universe.leagueoflegends.com/en_US/champion/kennen/</x:v>
      </x:c>
    </x:row>
    <x:row r="110" ht="68" customHeight="1">
      <x:c r="A110" s="24" t="str">
        <x:v>ION_KENNEN_DEFEAT</x:v>
      </x:c>
      <x:c r="B110" s="24" t="str">
        <x:v>kennen</x:v>
      </x:c>
      <x:c r="C110" s="24" t="str">
        <x:v>凯南</x:v>
      </x:c>
      <x:c r="D110" s="24" t="str">
        <x:v>DEFEAT</x:v>
      </x:c>
      <x:c r="E110" s="24" t="str">
        <x:v>失败撤退</x:v>
      </x:c>
      <x:c r="F110" s="24" t="str">
        <x:v>角色被迫撤离或计划失败</x:v>
      </x:c>
      <x:c r="G110" s="24" t="str">
        <x:v>玩家</x:v>
      </x:c>
      <x:c r="H110" s="24" t="str">
        <x:v>挫败</x:v>
      </x:c>
      <x:c r="I110" s="24" t="str">
        <x:v>反思</x:v>
      </x:c>
      <x:c r="J110" s="24" t="n">
        <x:v>4</x:v>
      </x:c>
      <x:c r="K110" s="30" t="str">
        <x:v>先退回物质领域。继续硬撑只会把裂缝扩大。</x:v>
      </x:c>
      <x:c r="L110" s="30" t="str">
        <x:v>保持敏捷明快，偶尔以年长视角点拨；不可因约德尔身份使用幼童声</x:v>
      </x:c>
      <x:c r="M110" s="30" t="n">
        <x:v>5</x:v>
      </x:c>
      <x:c r="N110" s="30" t="n">
        <x:v>0</x:v>
      </x:c>
      <x:c r="O110" s="30" t="str">
        <x:v>不限</x:v>
      </x:c>
      <x:c r="P110" s="30" t="str">
        <x:v>不限</x:v>
      </x:c>
      <x:c r="Q110" s="30" t="str">
        <x:v>否</x:v>
      </x:c>
      <x:c r="R110" s="30" t="n">
        <x:v>10</x:v>
      </x:c>
      <x:c r="S110" s="30" t="str">
        <x:v>spirit</x:v>
      </x:c>
      <x:c r="T110" s="30" t="str">
        <x:v>spirit_fate</x:v>
      </x:c>
      <x:c r="U110" s="30" t="n">
        <x:v>3</x:v>
      </x:c>
      <x:c r="V110" s="36" t="str">
        <x:f>A110&amp;".wav"</x:f>
        <x:v>ION_KENNEN_DEFEAT.wav</x:v>
      </x:c>
      <x:c r="W110" s="36" t="str">
        <x:v>待审核</x:v>
      </x:c>
      <x:c r="X110" s="36" t="str"/>
      <x:c r="Y110" s="36" t="str">
        <x:v>https://universe.leagueoflegends.com/en_US/champion/kennen/</x:v>
      </x:c>
    </x:row>
    <x:row r="111" ht="68" customHeight="1">
      <x:c r="A111" s="24" t="str">
        <x:v>ION_KENNEN_LORE</x:v>
      </x:c>
      <x:c r="B111" s="24" t="str">
        <x:v>kennen</x:v>
      </x:c>
      <x:c r="C111" s="24" t="str">
        <x:v>凯南</x:v>
      </x:c>
      <x:c r="D111" s="24" t="str">
        <x:v>LORE</x:v>
      </x:c>
      <x:c r="E111" s="24" t="str">
        <x:v>世界观讲述</x:v>
      </x:c>
      <x:c r="F111" s="24" t="str">
        <x:v>玩家询问人物、地点或往事</x:v>
      </x:c>
      <x:c r="G111" s="24" t="str">
        <x:v>玩家</x:v>
      </x:c>
      <x:c r="H111" s="24" t="str">
        <x:v>叙述</x:v>
      </x:c>
      <x:c r="I111" s="24" t="str">
        <x:v>怀念</x:v>
      </x:c>
      <x:c r="J111" s="24" t="n">
        <x:v>2</x:v>
      </x:c>
      <x:c r="K111" s="30" t="str">
        <x:v>均衡不是静止，它更像雷云：一直变化，却不能失去边界。</x:v>
      </x:c>
      <x:c r="L111" s="30" t="str">
        <x:v>保持敏捷明快，偶尔以年长视角点拨；不可因约德尔身份使用幼童声</x:v>
      </x:c>
      <x:c r="M111" s="30" t="n">
        <x:v>8</x:v>
      </x:c>
      <x:c r="N111" s="30" t="n">
        <x:v>0</x:v>
      </x:c>
      <x:c r="O111" s="30" t="str">
        <x:v>不限</x:v>
      </x:c>
      <x:c r="P111" s="30" t="str">
        <x:v>不限</x:v>
      </x:c>
      <x:c r="Q111" s="30" t="str">
        <x:v>是</x:v>
      </x:c>
      <x:c r="R111" s="30" t="n">
        <x:v>10</x:v>
      </x:c>
      <x:c r="S111" s="30" t="str">
        <x:v>spirit</x:v>
      </x:c>
      <x:c r="T111" s="30" t="str">
        <x:v>spirit_fate</x:v>
      </x:c>
      <x:c r="U111" s="30" t="n">
        <x:v>0</x:v>
      </x:c>
      <x:c r="V111" s="36" t="str">
        <x:f>A111&amp;".wav"</x:f>
        <x:v>ION_KENNEN_LORE.wav</x:v>
      </x:c>
      <x:c r="W111" s="36" t="str">
        <x:v>待审核</x:v>
      </x:c>
      <x:c r="X111" s="36" t="str"/>
      <x:c r="Y111" s="36" t="str">
        <x:v>https://universe.leagueoflegends.com/en_US/champion/kennen/</x:v>
      </x:c>
    </x:row>
    <x:row r="112" ht="68" customHeight="1">
      <x:c r="A112" s="24" t="str">
        <x:v>ION_KENNEN_FAREWELL</x:v>
      </x:c>
      <x:c r="B112" s="24" t="str">
        <x:v>kennen</x:v>
      </x:c>
      <x:c r="C112" s="24" t="str">
        <x:v>凯南</x:v>
      </x:c>
      <x:c r="D112" s="24" t="str">
        <x:v>FAREWELL</x:v>
      </x:c>
      <x:c r="E112" s="24" t="str">
        <x:v>阶段告别</x:v>
      </x:c>
      <x:c r="F112" s="24" t="str">
        <x:v>事件结束或角色离开队伍</x:v>
      </x:c>
      <x:c r="G112" s="24" t="str">
        <x:v>玩家</x:v>
      </x:c>
      <x:c r="H112" s="24" t="str">
        <x:v>告别</x:v>
      </x:c>
      <x:c r="I112" s="24" t="str">
        <x:v>复杂</x:v>
      </x:c>
      <x:c r="J112" s="24" t="n">
        <x:v>3</x:v>
      </x:c>
      <x:c r="K112" s="30" t="str">
        <x:v>我得去巡查另一处灵界波动。下次别再踩线了！</x:v>
      </x:c>
      <x:c r="L112" s="30" t="str">
        <x:v>保持敏捷明快，偶尔以年长视角点拨；不可因约德尔身份使用幼童声</x:v>
      </x:c>
      <x:c r="M112" s="30" t="n">
        <x:v>5</x:v>
      </x:c>
      <x:c r="N112" s="30" t="n">
        <x:v>0</x:v>
      </x:c>
      <x:c r="O112" s="30" t="str">
        <x:v>不限</x:v>
      </x:c>
      <x:c r="P112" s="30" t="str">
        <x:v>不限</x:v>
      </x:c>
      <x:c r="Q112" s="30" t="str">
        <x:v>否</x:v>
      </x:c>
      <x:c r="R112" s="30" t="n">
        <x:v>10</x:v>
      </x:c>
      <x:c r="S112" s="30" t="str">
        <x:v>freedom</x:v>
      </x:c>
      <x:c r="T112" s="30" t="str">
        <x:v>wanderer</x:v>
      </x:c>
      <x:c r="U112" s="30" t="n">
        <x:v>3</x:v>
      </x:c>
      <x:c r="V112" s="36" t="str">
        <x:f>A112&amp;".wav"</x:f>
        <x:v>ION_KENNEN_FAREWELL.wav</x:v>
      </x:c>
      <x:c r="W112" s="36" t="str">
        <x:v>待审核</x:v>
      </x:c>
      <x:c r="X112" s="36" t="str"/>
      <x:c r="Y112" s="36" t="str">
        <x:v>https://universe.leagueoflegends.com/en_US/champion/kennen/</x:v>
      </x:c>
    </x:row>
    <x:row r="113" ht="68" customHeight="1">
      <x:c r="A113" s="24" t="str">
        <x:v>ION_LEE_SIN_MEET</x:v>
      </x:c>
      <x:c r="B113" s="24" t="str">
        <x:v>lee_sin</x:v>
      </x:c>
      <x:c r="C113" s="24" t="str">
        <x:v>李青</x:v>
      </x:c>
      <x:c r="D113" s="24" t="str">
        <x:v>MEET</x:v>
      </x:c>
      <x:c r="E113" s="24" t="str">
        <x:v>初次相遇</x:v>
      </x:c>
      <x:c r="F113" s="24" t="str">
        <x:v>玩家第一次接近角色</x:v>
      </x:c>
      <x:c r="G113" s="24" t="str">
        <x:v>玩家</x:v>
      </x:c>
      <x:c r="H113" s="24" t="str">
        <x:v>审视</x:v>
      </x:c>
      <x:c r="I113" s="24" t="str">
        <x:v>中性</x:v>
      </x:c>
      <x:c r="J113" s="24" t="n">
        <x:v>2</x:v>
      </x:c>
      <x:c r="K113" s="30" t="str">
        <x:v>你的呼吸比脚步更早暴露了来意。放松，然后再开口。</x:v>
      </x:c>
      <x:c r="L113" s="30" t="str">
        <x:v>保持短而有力，重呼吸、感知与行动；避免神秘东方刻板口音</x:v>
      </x:c>
      <x:c r="M113" s="30" t="n">
        <x:v>4</x:v>
      </x:c>
      <x:c r="N113" s="30" t="n">
        <x:v>0</x:v>
      </x:c>
      <x:c r="O113" s="30" t="str">
        <x:v>不限</x:v>
      </x:c>
      <x:c r="P113" s="30" t="str">
        <x:v>不限</x:v>
      </x:c>
      <x:c r="Q113" s="30" t="str">
        <x:v>是</x:v>
      </x:c>
      <x:c r="R113" s="30" t="n">
        <x:v>10</x:v>
      </x:c>
      <x:c r="S113" s="30" t="str">
        <x:v>destiny</x:v>
      </x:c>
      <x:c r="T113" s="30" t="str">
        <x:v>breaker</x:v>
      </x:c>
      <x:c r="U113" s="30" t="n">
        <x:v>0</x:v>
      </x:c>
      <x:c r="V113" s="36" t="str">
        <x:f>A113&amp;".wav"</x:f>
        <x:v>ION_LEE_SIN_MEET.wav</x:v>
      </x:c>
      <x:c r="W113" s="36" t="str">
        <x:v>待审核</x:v>
      </x:c>
      <x:c r="X113" s="36" t="str"/>
      <x:c r="Y113" s="36" t="str">
        <x:v>https://universe.leagueoflegends.com/en_US/story/champion/leesin/</x:v>
      </x:c>
    </x:row>
    <x:row r="114" ht="68" customHeight="1">
      <x:c r="A114" s="24" t="str">
        <x:v>ION_LEE_SIN_GREET</x:v>
      </x:c>
      <x:c r="B114" s="24" t="str">
        <x:v>lee_sin</x:v>
      </x:c>
      <x:c r="C114" s="24" t="str">
        <x:v>李青</x:v>
      </x:c>
      <x:c r="D114" s="24" t="str">
        <x:v>GREET</x:v>
      </x:c>
      <x:c r="E114" s="24" t="str">
        <x:v>友好问候</x:v>
      </x:c>
      <x:c r="F114" s="24" t="str">
        <x:v>关系值达到友好后进入对话</x:v>
      </x:c>
      <x:c r="G114" s="24" t="str">
        <x:v>玩家</x:v>
      </x:c>
      <x:c r="H114" s="24" t="str">
        <x:v>友善</x:v>
      </x:c>
      <x:c r="I114" s="24" t="str">
        <x:v>喜悦</x:v>
      </x:c>
      <x:c r="J114" s="24" t="n">
        <x:v>2</x:v>
      </x:c>
      <x:c r="K114" s="30" t="str">
        <x:v>今天的气息很稳。看来你终于没有和自己较劲。</x:v>
      </x:c>
      <x:c r="L114" s="30" t="str">
        <x:v>保持短而有力，重呼吸、感知与行动；避免神秘东方刻板口音</x:v>
      </x:c>
      <x:c r="M114" s="30" t="n">
        <x:v>3</x:v>
      </x:c>
      <x:c r="N114" s="30" t="n">
        <x:v>10</x:v>
      </x:c>
      <x:c r="O114" s="30" t="str">
        <x:v>不限</x:v>
      </x:c>
      <x:c r="P114" s="30" t="str">
        <x:v>不限</x:v>
      </x:c>
      <x:c r="Q114" s="30" t="str">
        <x:v>否</x:v>
      </x:c>
      <x:c r="R114" s="30" t="n">
        <x:v>10</x:v>
      </x:c>
      <x:c r="S114" s="30" t="str">
        <x:v>peace</x:v>
      </x:c>
      <x:c r="T114" s="30" t="str">
        <x:v>guardian</x:v>
      </x:c>
      <x:c r="U114" s="30" t="n">
        <x:v>3</x:v>
      </x:c>
      <x:c r="V114" s="36" t="str">
        <x:f>A114&amp;".wav"</x:f>
        <x:v>ION_LEE_SIN_GREET.wav</x:v>
      </x:c>
      <x:c r="W114" s="36" t="str">
        <x:v>待审核</x:v>
      </x:c>
      <x:c r="X114" s="36" t="str"/>
      <x:c r="Y114" s="36" t="str">
        <x:v>https://universe.leagueoflegends.com/en_US/story/champion/leesin/</x:v>
      </x:c>
    </x:row>
    <x:row r="115" ht="68" customHeight="1">
      <x:c r="A115" s="24" t="str">
        <x:v>ION_LEE_SIN_WARN</x:v>
      </x:c>
      <x:c r="B115" s="24" t="str">
        <x:v>lee_sin</x:v>
      </x:c>
      <x:c r="C115" s="24" t="str">
        <x:v>李青</x:v>
      </x:c>
      <x:c r="D115" s="24" t="str">
        <x:v>WARN</x:v>
      </x:c>
      <x:c r="E115" s="24" t="str">
        <x:v>危险警告</x:v>
      </x:c>
      <x:c r="F115" s="24" t="str">
        <x:v>区域威胁或伏击即将发生</x:v>
      </x:c>
      <x:c r="G115" s="24" t="str">
        <x:v>玩家</x:v>
      </x:c>
      <x:c r="H115" s="24" t="str">
        <x:v>紧张</x:v>
      </x:c>
      <x:c r="I115" s="24" t="str">
        <x:v>警觉</x:v>
      </x:c>
      <x:c r="J115" s="24" t="n">
        <x:v>3</x:v>
      </x:c>
      <x:c r="K115" s="30" t="str">
        <x:v>山谷没有回声。有人用力量压住了这里的气。</x:v>
      </x:c>
      <x:c r="L115" s="30" t="str">
        <x:v>保持短而有力，重呼吸、感知与行动；避免神秘东方刻板口音</x:v>
      </x:c>
      <x:c r="M115" s="30" t="n">
        <x:v>3</x:v>
      </x:c>
      <x:c r="N115" s="30" t="n">
        <x:v>0</x:v>
      </x:c>
      <x:c r="O115" s="30" t="str">
        <x:v>不限</x:v>
      </x:c>
      <x:c r="P115" s="30" t="str">
        <x:v>不限</x:v>
      </x:c>
      <x:c r="Q115" s="30" t="str">
        <x:v>否</x:v>
      </x:c>
      <x:c r="R115" s="30" t="n">
        <x:v>10</x:v>
      </x:c>
      <x:c r="S115" s="30" t="str">
        <x:v>destiny</x:v>
      </x:c>
      <x:c r="T115" s="30" t="str">
        <x:v>breaker</x:v>
      </x:c>
      <x:c r="U115" s="30" t="n">
        <x:v>3</x:v>
      </x:c>
      <x:c r="V115" s="36" t="str">
        <x:f>A115&amp;".wav"</x:f>
        <x:v>ION_LEE_SIN_WARN.wav</x:v>
      </x:c>
      <x:c r="W115" s="36" t="str">
        <x:v>待审核</x:v>
      </x:c>
      <x:c r="X115" s="36" t="str"/>
      <x:c r="Y115" s="36" t="str">
        <x:v>https://universe.leagueoflegends.com/en_US/story/champion/leesin/</x:v>
      </x:c>
    </x:row>
    <x:row r="116" ht="68" customHeight="1">
      <x:c r="A116" s="24" t="str">
        <x:v>ION_LEE_SIN_REFUSE</x:v>
      </x:c>
      <x:c r="B116" s="24" t="str">
        <x:v>lee_sin</x:v>
      </x:c>
      <x:c r="C116" s="24" t="str">
        <x:v>李青</x:v>
      </x:c>
      <x:c r="D116" s="24" t="str">
        <x:v>REFUSE</x:v>
      </x:c>
      <x:c r="E116" s="24" t="str">
        <x:v>拒绝请求</x:v>
      </x:c>
      <x:c r="F116" s="24" t="str">
        <x:v>玩家请求触碰角色底线</x:v>
      </x:c>
      <x:c r="G116" s="24" t="str">
        <x:v>玩家</x:v>
      </x:c>
      <x:c r="H116" s="24" t="str">
        <x:v>拒绝</x:v>
      </x:c>
      <x:c r="I116" s="24" t="str">
        <x:v>厌恶</x:v>
      </x:c>
      <x:c r="J116" s="24" t="n">
        <x:v>3</x:v>
      </x:c>
      <x:c r="K116" s="30" t="str">
        <x:v>我不会替傲慢寻找一个听起来勇敢的名字。</x:v>
      </x:c>
      <x:c r="L116" s="30" t="str">
        <x:v>保持短而有力，重呼吸、感知与行动；避免神秘东方刻板口音</x:v>
      </x:c>
      <x:c r="M116" s="30" t="n">
        <x:v>4</x:v>
      </x:c>
      <x:c r="N116" s="30" t="n">
        <x:v>-20</x:v>
      </x:c>
      <x:c r="O116" s="30" t="str">
        <x:v>不限</x:v>
      </x:c>
      <x:c r="P116" s="30" t="str">
        <x:v>不限</x:v>
      </x:c>
      <x:c r="Q116" s="30" t="str">
        <x:v>否</x:v>
      </x:c>
      <x:c r="R116" s="30" t="n">
        <x:v>10</x:v>
      </x:c>
      <x:c r="S116" s="30" t="str">
        <x:v>freedom</x:v>
      </x:c>
      <x:c r="T116" s="30" t="str">
        <x:v>wanderer</x:v>
      </x:c>
      <x:c r="U116" s="30" t="n">
        <x:v>3</x:v>
      </x:c>
      <x:c r="V116" s="36" t="str">
        <x:f>A116&amp;".wav"</x:f>
        <x:v>ION_LEE_SIN_REFUSE.wav</x:v>
      </x:c>
      <x:c r="W116" s="36" t="str">
        <x:v>待审核</x:v>
      </x:c>
      <x:c r="X116" s="36" t="str"/>
      <x:c r="Y116" s="36" t="str">
        <x:v>https://universe.leagueoflegends.com/en_US/story/champion/leesin/</x:v>
      </x:c>
    </x:row>
    <x:row r="117" ht="68" customHeight="1">
      <x:c r="A117" s="24" t="str">
        <x:v>ION_LEE_SIN_TRUST</x:v>
      </x:c>
      <x:c r="B117" s="24" t="str">
        <x:v>lee_sin</x:v>
      </x:c>
      <x:c r="C117" s="24" t="str">
        <x:v>李青</x:v>
      </x:c>
      <x:c r="D117" s="24" t="str">
        <x:v>TRUST</x:v>
      </x:c>
      <x:c r="E117" s="24" t="str">
        <x:v>建立信任</x:v>
      </x:c>
      <x:c r="F117" s="24" t="str">
        <x:v>玩家满足角色的信任条件</x:v>
      </x:c>
      <x:c r="G117" s="24" t="str">
        <x:v>玩家</x:v>
      </x:c>
      <x:c r="H117" s="24" t="str">
        <x:v>信任</x:v>
      </x:c>
      <x:c r="I117" s="24" t="str">
        <x:v>柔和</x:v>
      </x:c>
      <x:c r="J117" s="24" t="n">
        <x:v>3</x:v>
      </x:c>
      <x:c r="K117" s="30" t="str">
        <x:v>把节奏交给我。你只需在恐惧出现时仍向前一步。</x:v>
      </x:c>
      <x:c r="L117" s="30" t="str">
        <x:v>保持短而有力，重呼吸、感知与行动；避免神秘东方刻板口音</x:v>
      </x:c>
      <x:c r="M117" s="30" t="n">
        <x:v>5</x:v>
      </x:c>
      <x:c r="N117" s="30" t="n">
        <x:v>40</x:v>
      </x:c>
      <x:c r="O117" s="30" t="str">
        <x:v>不限</x:v>
      </x:c>
      <x:c r="P117" s="30" t="str">
        <x:v>不限</x:v>
      </x:c>
      <x:c r="Q117" s="30" t="str">
        <x:v>是</x:v>
      </x:c>
      <x:c r="R117" s="30" t="n">
        <x:v>10</x:v>
      </x:c>
      <x:c r="S117" s="30" t="str">
        <x:v>peace</x:v>
      </x:c>
      <x:c r="T117" s="30" t="str">
        <x:v>guardian</x:v>
      </x:c>
      <x:c r="U117" s="30" t="n">
        <x:v>0</x:v>
      </x:c>
      <x:c r="V117" s="36" t="str">
        <x:f>A117&amp;".wav"</x:f>
        <x:v>ION_LEE_SIN_TRUST.wav</x:v>
      </x:c>
      <x:c r="W117" s="36" t="str">
        <x:v>待审核</x:v>
      </x:c>
      <x:c r="X117" s="36" t="str"/>
      <x:c r="Y117" s="36" t="str">
        <x:v>https://universe.leagueoflegends.com/en_US/story/champion/leesin/</x:v>
      </x:c>
    </x:row>
    <x:row r="118" ht="68" customHeight="1">
      <x:c r="A118" s="24" t="str">
        <x:v>ION_LEE_SIN_ANGER</x:v>
      </x:c>
      <x:c r="B118" s="24" t="str">
        <x:v>lee_sin</x:v>
      </x:c>
      <x:c r="C118" s="24" t="str">
        <x:v>李青</x:v>
      </x:c>
      <x:c r="D118" s="24" t="str">
        <x:v>ANGER</x:v>
      </x:c>
      <x:c r="E118" s="24" t="str">
        <x:v>被激怒</x:v>
      </x:c>
      <x:c r="F118" s="24" t="str">
        <x:v>玩家触发角色主要怒点</x:v>
      </x:c>
      <x:c r="G118" s="24" t="str">
        <x:v>玩家</x:v>
      </x:c>
      <x:c r="H118" s="24" t="str">
        <x:v>愤怒</x:v>
      </x:c>
      <x:c r="I118" s="24" t="str">
        <x:v>受伤</x:v>
      </x:c>
      <x:c r="J118" s="24" t="n">
        <x:v>4</x:v>
      </x:c>
      <x:c r="K118" s="30" t="str">
        <x:v>力量不是你抬高声音的理由，它只让错误的代价更重。</x:v>
      </x:c>
      <x:c r="L118" s="30" t="str">
        <x:v>保持短而有力，重呼吸、感知与行动；避免神秘东方刻板口音</x:v>
      </x:c>
      <x:c r="M118" s="30" t="n">
        <x:v>4</x:v>
      </x:c>
      <x:c r="N118" s="30" t="n">
        <x:v>-20</x:v>
      </x:c>
      <x:c r="O118" s="30" t="str">
        <x:v>不限</x:v>
      </x:c>
      <x:c r="P118" s="30" t="str">
        <x:v>不限</x:v>
      </x:c>
      <x:c r="Q118" s="30" t="str">
        <x:v>否</x:v>
      </x:c>
      <x:c r="R118" s="30" t="n">
        <x:v>10</x:v>
      </x:c>
      <x:c r="S118" s="30" t="str">
        <x:v>power</x:v>
      </x:c>
      <x:c r="T118" s="30" t="str">
        <x:v>strong</x:v>
      </x:c>
      <x:c r="U118" s="30" t="n">
        <x:v>3</x:v>
      </x:c>
      <x:c r="V118" s="36" t="str">
        <x:f>A118&amp;".wav"</x:f>
        <x:v>ION_LEE_SIN_ANGER.wav</x:v>
      </x:c>
      <x:c r="W118" s="36" t="str">
        <x:v>待审核</x:v>
      </x:c>
      <x:c r="X118" s="36" t="str"/>
      <x:c r="Y118" s="36" t="str">
        <x:v>https://universe.leagueoflegends.com/en_US/story/champion/leesin/</x:v>
      </x:c>
    </x:row>
    <x:row r="119" ht="68" customHeight="1">
      <x:c r="A119" s="24" t="str">
        <x:v>ION_LEE_SIN_HURT</x:v>
      </x:c>
      <x:c r="B119" s="24" t="str">
        <x:v>lee_sin</x:v>
      </x:c>
      <x:c r="C119" s="24" t="str">
        <x:v>李青</x:v>
      </x:c>
      <x:c r="D119" s="24" t="str">
        <x:v>HURT</x:v>
      </x:c>
      <x:c r="E119" s="24" t="str">
        <x:v>受伤反馈</x:v>
      </x:c>
      <x:c r="F119" s="24" t="str">
        <x:v>角色受到重击但仍可行动</x:v>
      </x:c>
      <x:c r="G119" s="24" t="str">
        <x:v>玩家</x:v>
      </x:c>
      <x:c r="H119" s="24" t="str">
        <x:v>痛苦</x:v>
      </x:c>
      <x:c r="I119" s="24" t="str">
        <x:v>坚持</x:v>
      </x:c>
      <x:c r="J119" s="24" t="n">
        <x:v>4</x:v>
      </x:c>
      <x:c r="K119" s="30" t="str">
        <x:v>痛楚提醒我仍在身体之中。继续。</x:v>
      </x:c>
      <x:c r="L119" s="30" t="str">
        <x:v>保持短而有力，重呼吸、感知与行动；避免神秘东方刻板口音</x:v>
      </x:c>
      <x:c r="M119" s="30" t="n">
        <x:v>2</x:v>
      </x:c>
      <x:c r="N119" s="30" t="n">
        <x:v>0</x:v>
      </x:c>
      <x:c r="O119" s="30" t="str">
        <x:v>不限</x:v>
      </x:c>
      <x:c r="P119" s="30" t="str">
        <x:v>不限</x:v>
      </x:c>
      <x:c r="Q119" s="30" t="str">
        <x:v>否</x:v>
      </x:c>
      <x:c r="R119" s="30" t="n">
        <x:v>10</x:v>
      </x:c>
      <x:c r="S119" s="30" t="str">
        <x:v>peace</x:v>
      </x:c>
      <x:c r="T119" s="30" t="str">
        <x:v>guardian</x:v>
      </x:c>
      <x:c r="U119" s="30" t="n">
        <x:v>3</x:v>
      </x:c>
      <x:c r="V119" s="36" t="str">
        <x:f>A119&amp;".wav"</x:f>
        <x:v>ION_LEE_SIN_HURT.wav</x:v>
      </x:c>
      <x:c r="W119" s="36" t="str">
        <x:v>待审核</x:v>
      </x:c>
      <x:c r="X119" s="36" t="str"/>
      <x:c r="Y119" s="36" t="str">
        <x:v>https://universe.leagueoflegends.com/en_US/story/champion/leesin/</x:v>
      </x:c>
    </x:row>
    <x:row r="120" ht="68" customHeight="1">
      <x:c r="A120" s="24" t="str">
        <x:v>ION_LEE_SIN_COMBAT</x:v>
      </x:c>
      <x:c r="B120" s="24" t="str">
        <x:v>lee_sin</x:v>
      </x:c>
      <x:c r="C120" s="24" t="str">
        <x:v>李青</x:v>
      </x:c>
      <x:c r="D120" s="24" t="str">
        <x:v>COMBAT</x:v>
      </x:c>
      <x:c r="E120" s="24" t="str">
        <x:v>战斗行动</x:v>
      </x:c>
      <x:c r="F120" s="24" t="str">
        <x:v>角色发动标志性行动</x:v>
      </x:c>
      <x:c r="G120" s="24" t="str">
        <x:v>玩家</x:v>
      </x:c>
      <x:c r="H120" s="24" t="str">
        <x:v>战意</x:v>
      </x:c>
      <x:c r="I120" s="24" t="str">
        <x:v>专注</x:v>
      </x:c>
      <x:c r="J120" s="24" t="n">
        <x:v>4</x:v>
      </x:c>
      <x:c r="K120" s="30" t="str">
        <x:v>听见了吗？那一瞬空白，就是你出拳的时机。</x:v>
      </x:c>
      <x:c r="L120" s="30" t="str">
        <x:v>保持短而有力，重呼吸、感知与行动；避免神秘东方刻板口音</x:v>
      </x:c>
      <x:c r="M120" s="30" t="n">
        <x:v>2</x:v>
      </x:c>
      <x:c r="N120" s="30" t="n">
        <x:v>0</x:v>
      </x:c>
      <x:c r="O120" s="30" t="str">
        <x:v>不限</x:v>
      </x:c>
      <x:c r="P120" s="30" t="str">
        <x:v>不限</x:v>
      </x:c>
      <x:c r="Q120" s="30" t="str">
        <x:v>否</x:v>
      </x:c>
      <x:c r="R120" s="30" t="n">
        <x:v>10</x:v>
      </x:c>
      <x:c r="S120" s="30" t="str">
        <x:v>power</x:v>
      </x:c>
      <x:c r="T120" s="30" t="str">
        <x:v>strong</x:v>
      </x:c>
      <x:c r="U120" s="30" t="n">
        <x:v>3</x:v>
      </x:c>
      <x:c r="V120" s="36" t="str">
        <x:f>A120&amp;".wav"</x:f>
        <x:v>ION_LEE_SIN_COMBAT.wav</x:v>
      </x:c>
      <x:c r="W120" s="36" t="str">
        <x:v>待审核</x:v>
      </x:c>
      <x:c r="X120" s="36" t="str"/>
      <x:c r="Y120" s="36" t="str">
        <x:v>https://universe.leagueoflegends.com/en_US/story/champion/leesin/</x:v>
      </x:c>
    </x:row>
    <x:row r="121" ht="68" customHeight="1">
      <x:c r="A121" s="24" t="str">
        <x:v>ION_LEE_SIN_VICTORY</x:v>
      </x:c>
      <x:c r="B121" s="24" t="str">
        <x:v>lee_sin</x:v>
      </x:c>
      <x:c r="C121" s="24" t="str">
        <x:v>李青</x:v>
      </x:c>
      <x:c r="D121" s="24" t="str">
        <x:v>VICTORY</x:v>
      </x:c>
      <x:c r="E121" s="24" t="str">
        <x:v>战斗胜利</x:v>
      </x:c>
      <x:c r="F121" s="24" t="str">
        <x:v>威胁解除并进入结算</x:v>
      </x:c>
      <x:c r="G121" s="24" t="str">
        <x:v>玩家</x:v>
      </x:c>
      <x:c r="H121" s="24" t="str">
        <x:v>释然</x:v>
      </x:c>
      <x:c r="I121" s="24" t="str">
        <x:v>克制喜悦</x:v>
      </x:c>
      <x:c r="J121" s="24" t="n">
        <x:v>3</x:v>
      </x:c>
      <x:c r="K121" s="30" t="str">
        <x:v>胜负已定。收住下一击，才算真正结束。</x:v>
      </x:c>
      <x:c r="L121" s="30" t="str">
        <x:v>保持短而有力，重呼吸、感知与行动；避免神秘东方刻板口音</x:v>
      </x:c>
      <x:c r="M121" s="30" t="n">
        <x:v>4</x:v>
      </x:c>
      <x:c r="N121" s="30" t="n">
        <x:v>0</x:v>
      </x:c>
      <x:c r="O121" s="30" t="str">
        <x:v>不限</x:v>
      </x:c>
      <x:c r="P121" s="30" t="str">
        <x:v>不限</x:v>
      </x:c>
      <x:c r="Q121" s="30" t="str">
        <x:v>否</x:v>
      </x:c>
      <x:c r="R121" s="30" t="n">
        <x:v>10</x:v>
      </x:c>
      <x:c r="S121" s="30" t="str">
        <x:v>destiny</x:v>
      </x:c>
      <x:c r="T121" s="30" t="str">
        <x:v>breaker</x:v>
      </x:c>
      <x:c r="U121" s="30" t="n">
        <x:v>3</x:v>
      </x:c>
      <x:c r="V121" s="36" t="str">
        <x:f>A121&amp;".wav"</x:f>
        <x:v>ION_LEE_SIN_VICTORY.wav</x:v>
      </x:c>
      <x:c r="W121" s="36" t="str">
        <x:v>待审核</x:v>
      </x:c>
      <x:c r="X121" s="36" t="str"/>
      <x:c r="Y121" s="36" t="str">
        <x:v>https://universe.leagueoflegends.com/en_US/story/champion/leesin/</x:v>
      </x:c>
    </x:row>
    <x:row r="122" ht="68" customHeight="1">
      <x:c r="A122" s="24" t="str">
        <x:v>ION_LEE_SIN_DEFEAT</x:v>
      </x:c>
      <x:c r="B122" s="24" t="str">
        <x:v>lee_sin</x:v>
      </x:c>
      <x:c r="C122" s="24" t="str">
        <x:v>李青</x:v>
      </x:c>
      <x:c r="D122" s="24" t="str">
        <x:v>DEFEAT</x:v>
      </x:c>
      <x:c r="E122" s="24" t="str">
        <x:v>失败撤退</x:v>
      </x:c>
      <x:c r="F122" s="24" t="str">
        <x:v>角色被迫撤离或计划失败</x:v>
      </x:c>
      <x:c r="G122" s="24" t="str">
        <x:v>玩家</x:v>
      </x:c>
      <x:c r="H122" s="24" t="str">
        <x:v>挫败</x:v>
      </x:c>
      <x:c r="I122" s="24" t="str">
        <x:v>反思</x:v>
      </x:c>
      <x:c r="J122" s="24" t="n">
        <x:v>4</x:v>
      </x:c>
      <x:c r="K122" s="30" t="str">
        <x:v>我的判断失衡了。撤离，重新找回呼吸。</x:v>
      </x:c>
      <x:c r="L122" s="30" t="str">
        <x:v>保持短而有力，重呼吸、感知与行动；避免神秘东方刻板口音</x:v>
      </x:c>
      <x:c r="M122" s="30" t="n">
        <x:v>5</x:v>
      </x:c>
      <x:c r="N122" s="30" t="n">
        <x:v>0</x:v>
      </x:c>
      <x:c r="O122" s="30" t="str">
        <x:v>不限</x:v>
      </x:c>
      <x:c r="P122" s="30" t="str">
        <x:v>不限</x:v>
      </x:c>
      <x:c r="Q122" s="30" t="str">
        <x:v>否</x:v>
      </x:c>
      <x:c r="R122" s="30" t="n">
        <x:v>10</x:v>
      </x:c>
      <x:c r="S122" s="30" t="str">
        <x:v>spirit</x:v>
      </x:c>
      <x:c r="T122" s="30" t="str">
        <x:v>spirit_fate</x:v>
      </x:c>
      <x:c r="U122" s="30" t="n">
        <x:v>3</x:v>
      </x:c>
      <x:c r="V122" s="36" t="str">
        <x:f>A122&amp;".wav"</x:f>
        <x:v>ION_LEE_SIN_DEFEAT.wav</x:v>
      </x:c>
      <x:c r="W122" s="36" t="str">
        <x:v>待审核</x:v>
      </x:c>
      <x:c r="X122" s="36" t="str"/>
      <x:c r="Y122" s="36" t="str">
        <x:v>https://universe.leagueoflegends.com/en_US/story/champion/leesin/</x:v>
      </x:c>
    </x:row>
    <x:row r="123" ht="68" customHeight="1">
      <x:c r="A123" s="24" t="str">
        <x:v>ION_LEE_SIN_LORE</x:v>
      </x:c>
      <x:c r="B123" s="24" t="str">
        <x:v>lee_sin</x:v>
      </x:c>
      <x:c r="C123" s="24" t="str">
        <x:v>李青</x:v>
      </x:c>
      <x:c r="D123" s="24" t="str">
        <x:v>LORE</x:v>
      </x:c>
      <x:c r="E123" s="24" t="str">
        <x:v>世界观讲述</x:v>
      </x:c>
      <x:c r="F123" s="24" t="str">
        <x:v>玩家询问人物、地点或往事</x:v>
      </x:c>
      <x:c r="G123" s="24" t="str">
        <x:v>玩家</x:v>
      </x:c>
      <x:c r="H123" s="24" t="str">
        <x:v>叙述</x:v>
      </x:c>
      <x:c r="I123" s="24" t="str">
        <x:v>怀念</x:v>
      </x:c>
      <x:c r="J123" s="24" t="n">
        <x:v>2</x:v>
      </x:c>
      <x:c r="K123" s="30" t="str">
        <x:v>我曾以为龙之灵选择我便证明我正确，后来它让我用双眼偿还傲慢。</x:v>
      </x:c>
      <x:c r="L123" s="30" t="str">
        <x:v>保持短而有力，重呼吸、感知与行动；避免神秘东方刻板口音</x:v>
      </x:c>
      <x:c r="M123" s="30" t="n">
        <x:v>8</x:v>
      </x:c>
      <x:c r="N123" s="30" t="n">
        <x:v>0</x:v>
      </x:c>
      <x:c r="O123" s="30" t="str">
        <x:v>不限</x:v>
      </x:c>
      <x:c r="P123" s="30" t="str">
        <x:v>不限</x:v>
      </x:c>
      <x:c r="Q123" s="30" t="str">
        <x:v>是</x:v>
      </x:c>
      <x:c r="R123" s="30" t="n">
        <x:v>10</x:v>
      </x:c>
      <x:c r="S123" s="30" t="str">
        <x:v>spirit</x:v>
      </x:c>
      <x:c r="T123" s="30" t="str">
        <x:v>spirit_fate</x:v>
      </x:c>
      <x:c r="U123" s="30" t="n">
        <x:v>0</x:v>
      </x:c>
      <x:c r="V123" s="36" t="str">
        <x:f>A123&amp;".wav"</x:f>
        <x:v>ION_LEE_SIN_LORE.wav</x:v>
      </x:c>
      <x:c r="W123" s="36" t="str">
        <x:v>待审核</x:v>
      </x:c>
      <x:c r="X123" s="36" t="str"/>
      <x:c r="Y123" s="36" t="str">
        <x:v>https://universe.leagueoflegends.com/en_US/story/champion/leesin/</x:v>
      </x:c>
    </x:row>
    <x:row r="124" ht="68" customHeight="1">
      <x:c r="A124" s="24" t="str">
        <x:v>ION_LEE_SIN_FAREWELL</x:v>
      </x:c>
      <x:c r="B124" s="24" t="str">
        <x:v>lee_sin</x:v>
      </x:c>
      <x:c r="C124" s="24" t="str">
        <x:v>李青</x:v>
      </x:c>
      <x:c r="D124" s="24" t="str">
        <x:v>FAREWELL</x:v>
      </x:c>
      <x:c r="E124" s="24" t="str">
        <x:v>阶段告别</x:v>
      </x:c>
      <x:c r="F124" s="24" t="str">
        <x:v>事件结束或角色离开队伍</x:v>
      </x:c>
      <x:c r="G124" s="24" t="str">
        <x:v>玩家</x:v>
      </x:c>
      <x:c r="H124" s="24" t="str">
        <x:v>告别</x:v>
      </x:c>
      <x:c r="I124" s="24" t="str">
        <x:v>复杂</x:v>
      </x:c>
      <x:c r="J124" s="24" t="n">
        <x:v>3</x:v>
      </x:c>
      <x:c r="K124" s="30" t="str">
        <x:v>山路会记住你的呼吸。愿下次听见时，它更加平稳。</x:v>
      </x:c>
      <x:c r="L124" s="30" t="str">
        <x:v>保持短而有力，重呼吸、感知与行动；避免神秘东方刻板口音</x:v>
      </x:c>
      <x:c r="M124" s="30" t="n">
        <x:v>5</x:v>
      </x:c>
      <x:c r="N124" s="30" t="n">
        <x:v>0</x:v>
      </x:c>
      <x:c r="O124" s="30" t="str">
        <x:v>不限</x:v>
      </x:c>
      <x:c r="P124" s="30" t="str">
        <x:v>不限</x:v>
      </x:c>
      <x:c r="Q124" s="30" t="str">
        <x:v>否</x:v>
      </x:c>
      <x:c r="R124" s="30" t="n">
        <x:v>10</x:v>
      </x:c>
      <x:c r="S124" s="30" t="str">
        <x:v>freedom</x:v>
      </x:c>
      <x:c r="T124" s="30" t="str">
        <x:v>wanderer</x:v>
      </x:c>
      <x:c r="U124" s="30" t="n">
        <x:v>3</x:v>
      </x:c>
      <x:c r="V124" s="36" t="str">
        <x:f>A124&amp;".wav"</x:f>
        <x:v>ION_LEE_SIN_FAREWELL.wav</x:v>
      </x:c>
      <x:c r="W124" s="36" t="str">
        <x:v>待审核</x:v>
      </x:c>
      <x:c r="X124" s="36" t="str"/>
      <x:c r="Y124" s="36" t="str">
        <x:v>https://universe.leagueoflegends.com/en_US/story/champion/leesin/</x:v>
      </x:c>
    </x:row>
    <x:row r="125" ht="68" customHeight="1">
      <x:c r="A125" s="24" t="str">
        <x:v>ION_LILLIA_MEET</x:v>
      </x:c>
      <x:c r="B125" s="24" t="str">
        <x:v>lillia</x:v>
      </x:c>
      <x:c r="C125" s="24" t="str">
        <x:v>莉莉娅</x:v>
      </x:c>
      <x:c r="D125" s="24" t="str">
        <x:v>MEET</x:v>
      </x:c>
      <x:c r="E125" s="24" t="str">
        <x:v>初次相遇</x:v>
      </x:c>
      <x:c r="F125" s="24" t="str">
        <x:v>玩家第一次接近角色</x:v>
      </x:c>
      <x:c r="G125" s="24" t="str">
        <x:v>玩家</x:v>
      </x:c>
      <x:c r="H125" s="24" t="str">
        <x:v>审视</x:v>
      </x:c>
      <x:c r="I125" s="24" t="str">
        <x:v>中性</x:v>
      </x:c>
      <x:c r="J125" s="24" t="n">
        <x:v>2</x:v>
      </x:c>
      <x:c r="K125" s="30" t="str">
        <x:v>你、你好……你的梦没有追过来吧？它看起来跑得很快。</x:v>
      </x:c>
      <x:c r="L125" s="30" t="str">
        <x:v>保持轻柔、犹疑、带梦与花的意象；不可把口吃当唯一角色特征</x:v>
      </x:c>
      <x:c r="M125" s="30" t="n">
        <x:v>4</x:v>
      </x:c>
      <x:c r="N125" s="30" t="n">
        <x:v>0</x:v>
      </x:c>
      <x:c r="O125" s="30" t="str">
        <x:v>不限</x:v>
      </x:c>
      <x:c r="P125" s="30" t="str">
        <x:v>不限</x:v>
      </x:c>
      <x:c r="Q125" s="30" t="str">
        <x:v>是</x:v>
      </x:c>
      <x:c r="R125" s="30" t="n">
        <x:v>10</x:v>
      </x:c>
      <x:c r="S125" s="30" t="str">
        <x:v>destiny</x:v>
      </x:c>
      <x:c r="T125" s="30" t="str">
        <x:v>breaker</x:v>
      </x:c>
      <x:c r="U125" s="30" t="n">
        <x:v>0</x:v>
      </x:c>
      <x:c r="V125" s="36" t="str">
        <x:f>A125&amp;".wav"</x:f>
        <x:v>ION_LILLIA_MEET.wav</x:v>
      </x:c>
      <x:c r="W125" s="36" t="str">
        <x:v>待审核</x:v>
      </x:c>
      <x:c r="X125" s="36" t="str"/>
      <x:c r="Y125" s="36" t="str">
        <x:v>https://universe.leagueoflegends.com/en_US/champion/lillia/</x:v>
      </x:c>
    </x:row>
    <x:row r="126" ht="68" customHeight="1">
      <x:c r="A126" s="24" t="str">
        <x:v>ION_LILLIA_GREET</x:v>
      </x:c>
      <x:c r="B126" s="24" t="str">
        <x:v>lillia</x:v>
      </x:c>
      <x:c r="C126" s="24" t="str">
        <x:v>莉莉娅</x:v>
      </x:c>
      <x:c r="D126" s="24" t="str">
        <x:v>GREET</x:v>
      </x:c>
      <x:c r="E126" s="24" t="str">
        <x:v>友好问候</x:v>
      </x:c>
      <x:c r="F126" s="24" t="str">
        <x:v>关系值达到友好后进入对话</x:v>
      </x:c>
      <x:c r="G126" s="24" t="str">
        <x:v>玩家</x:v>
      </x:c>
      <x:c r="H126" s="24" t="str">
        <x:v>友善</x:v>
      </x:c>
      <x:c r="I126" s="24" t="str">
        <x:v>喜悦</x:v>
      </x:c>
      <x:c r="J126" s="24" t="n">
        <x:v>2</x:v>
      </x:c>
      <x:c r="K126" s="30" t="str">
        <x:v>啊，是你！梦境之树昨晚开了一朵像你笑声的花。</x:v>
      </x:c>
      <x:c r="L126" s="30" t="str">
        <x:v>保持轻柔、犹疑、带梦与花的意象；不可把口吃当唯一角色特征</x:v>
      </x:c>
      <x:c r="M126" s="30" t="n">
        <x:v>3</x:v>
      </x:c>
      <x:c r="N126" s="30" t="n">
        <x:v>10</x:v>
      </x:c>
      <x:c r="O126" s="30" t="str">
        <x:v>不限</x:v>
      </x:c>
      <x:c r="P126" s="30" t="str">
        <x:v>不限</x:v>
      </x:c>
      <x:c r="Q126" s="30" t="str">
        <x:v>否</x:v>
      </x:c>
      <x:c r="R126" s="30" t="n">
        <x:v>10</x:v>
      </x:c>
      <x:c r="S126" s="30" t="str">
        <x:v>peace</x:v>
      </x:c>
      <x:c r="T126" s="30" t="str">
        <x:v>guardian</x:v>
      </x:c>
      <x:c r="U126" s="30" t="n">
        <x:v>3</x:v>
      </x:c>
      <x:c r="V126" s="36" t="str">
        <x:f>A126&amp;".wav"</x:f>
        <x:v>ION_LILLIA_GREET.wav</x:v>
      </x:c>
      <x:c r="W126" s="36" t="str">
        <x:v>待审核</x:v>
      </x:c>
      <x:c r="X126" s="36" t="str"/>
      <x:c r="Y126" s="36" t="str">
        <x:v>https://universe.leagueoflegends.com/en_US/champion/lillia/</x:v>
      </x:c>
    </x:row>
    <x:row r="127" ht="68" customHeight="1">
      <x:c r="A127" s="24" t="str">
        <x:v>ION_LILLIA_WARN</x:v>
      </x:c>
      <x:c r="B127" s="24" t="str">
        <x:v>lillia</x:v>
      </x:c>
      <x:c r="C127" s="24" t="str">
        <x:v>莉莉娅</x:v>
      </x:c>
      <x:c r="D127" s="24" t="str">
        <x:v>WARN</x:v>
      </x:c>
      <x:c r="E127" s="24" t="str">
        <x:v>危险警告</x:v>
      </x:c>
      <x:c r="F127" s="24" t="str">
        <x:v>区域威胁或伏击即将发生</x:v>
      </x:c>
      <x:c r="G127" s="24" t="str">
        <x:v>玩家</x:v>
      </x:c>
      <x:c r="H127" s="24" t="str">
        <x:v>紧张</x:v>
      </x:c>
      <x:c r="I127" s="24" t="str">
        <x:v>警觉</x:v>
      </x:c>
      <x:c r="J127" s="24" t="n">
        <x:v>3</x:v>
      </x:c>
      <x:c r="K127" s="30" t="str">
        <x:v>别再往前了，那些梦正在害怕我们。</x:v>
      </x:c>
      <x:c r="L127" s="30" t="str">
        <x:v>保持轻柔、犹疑、带梦与花的意象；不可把口吃当唯一角色特征</x:v>
      </x:c>
      <x:c r="M127" s="30" t="n">
        <x:v>3</x:v>
      </x:c>
      <x:c r="N127" s="30" t="n">
        <x:v>0</x:v>
      </x:c>
      <x:c r="O127" s="30" t="str">
        <x:v>不限</x:v>
      </x:c>
      <x:c r="P127" s="30" t="str">
        <x:v>不限</x:v>
      </x:c>
      <x:c r="Q127" s="30" t="str">
        <x:v>否</x:v>
      </x:c>
      <x:c r="R127" s="30" t="n">
        <x:v>10</x:v>
      </x:c>
      <x:c r="S127" s="30" t="str">
        <x:v>destiny</x:v>
      </x:c>
      <x:c r="T127" s="30" t="str">
        <x:v>breaker</x:v>
      </x:c>
      <x:c r="U127" s="30" t="n">
        <x:v>3</x:v>
      </x:c>
      <x:c r="V127" s="36" t="str">
        <x:f>A127&amp;".wav"</x:f>
        <x:v>ION_LILLIA_WARN.wav</x:v>
      </x:c>
      <x:c r="W127" s="36" t="str">
        <x:v>待审核</x:v>
      </x:c>
      <x:c r="X127" s="36" t="str"/>
      <x:c r="Y127" s="36" t="str">
        <x:v>https://universe.leagueoflegends.com/en_US/champion/lillia/</x:v>
      </x:c>
    </x:row>
    <x:row r="128" ht="68" customHeight="1">
      <x:c r="A128" s="24" t="str">
        <x:v>ION_LILLIA_REFUSE</x:v>
      </x:c>
      <x:c r="B128" s="24" t="str">
        <x:v>lillia</x:v>
      </x:c>
      <x:c r="C128" s="24" t="str">
        <x:v>莉莉娅</x:v>
      </x:c>
      <x:c r="D128" s="24" t="str">
        <x:v>REFUSE</x:v>
      </x:c>
      <x:c r="E128" s="24" t="str">
        <x:v>拒绝请求</x:v>
      </x:c>
      <x:c r="F128" s="24" t="str">
        <x:v>玩家请求触碰角色底线</x:v>
      </x:c>
      <x:c r="G128" s="24" t="str">
        <x:v>玩家</x:v>
      </x:c>
      <x:c r="H128" s="24" t="str">
        <x:v>拒绝</x:v>
      </x:c>
      <x:c r="I128" s="24" t="str">
        <x:v>厌恶</x:v>
      </x:c>
      <x:c r="J128" s="24" t="n">
        <x:v>3</x:v>
      </x:c>
      <x:c r="K128" s="30" t="str">
        <x:v>不可以把别人的噩梦拿走！它会在你心里长出刺的。</x:v>
      </x:c>
      <x:c r="L128" s="30" t="str">
        <x:v>保持轻柔、犹疑、带梦与花的意象；不可把口吃当唯一角色特征</x:v>
      </x:c>
      <x:c r="M128" s="30" t="n">
        <x:v>4</x:v>
      </x:c>
      <x:c r="N128" s="30" t="n">
        <x:v>-20</x:v>
      </x:c>
      <x:c r="O128" s="30" t="str">
        <x:v>不限</x:v>
      </x:c>
      <x:c r="P128" s="30" t="str">
        <x:v>不限</x:v>
      </x:c>
      <x:c r="Q128" s="30" t="str">
        <x:v>否</x:v>
      </x:c>
      <x:c r="R128" s="30" t="n">
        <x:v>10</x:v>
      </x:c>
      <x:c r="S128" s="30" t="str">
        <x:v>freedom</x:v>
      </x:c>
      <x:c r="T128" s="30" t="str">
        <x:v>wanderer</x:v>
      </x:c>
      <x:c r="U128" s="30" t="n">
        <x:v>3</x:v>
      </x:c>
      <x:c r="V128" s="36" t="str">
        <x:f>A128&amp;".wav"</x:f>
        <x:v>ION_LILLIA_REFUSE.wav</x:v>
      </x:c>
      <x:c r="W128" s="36" t="str">
        <x:v>待审核</x:v>
      </x:c>
      <x:c r="X128" s="36" t="str"/>
      <x:c r="Y128" s="36" t="str">
        <x:v>https://universe.leagueoflegends.com/en_US/champion/lillia/</x:v>
      </x:c>
    </x:row>
    <x:row r="129" ht="68" customHeight="1">
      <x:c r="A129" s="24" t="str">
        <x:v>ION_LILLIA_TRUST</x:v>
      </x:c>
      <x:c r="B129" s="24" t="str">
        <x:v>lillia</x:v>
      </x:c>
      <x:c r="C129" s="24" t="str">
        <x:v>莉莉娅</x:v>
      </x:c>
      <x:c r="D129" s="24" t="str">
        <x:v>TRUST</x:v>
      </x:c>
      <x:c r="E129" s="24" t="str">
        <x:v>建立信任</x:v>
      </x:c>
      <x:c r="F129" s="24" t="str">
        <x:v>玩家满足角色的信任条件</x:v>
      </x:c>
      <x:c r="G129" s="24" t="str">
        <x:v>玩家</x:v>
      </x:c>
      <x:c r="H129" s="24" t="str">
        <x:v>信任</x:v>
      </x:c>
      <x:c r="I129" s="24" t="str">
        <x:v>柔和</x:v>
      </x:c>
      <x:c r="J129" s="24" t="n">
        <x:v>3</x:v>
      </x:c>
      <x:c r="K129" s="30" t="str">
        <x:v>我可以靠近一点吗？只一点……你的梦说它不讨厌我。</x:v>
      </x:c>
      <x:c r="L129" s="30" t="str">
        <x:v>保持轻柔、犹疑、带梦与花的意象；不可把口吃当唯一角色特征</x:v>
      </x:c>
      <x:c r="M129" s="30" t="n">
        <x:v>5</x:v>
      </x:c>
      <x:c r="N129" s="30" t="n">
        <x:v>40</x:v>
      </x:c>
      <x:c r="O129" s="30" t="str">
        <x:v>不限</x:v>
      </x:c>
      <x:c r="P129" s="30" t="str">
        <x:v>不限</x:v>
      </x:c>
      <x:c r="Q129" s="30" t="str">
        <x:v>是</x:v>
      </x:c>
      <x:c r="R129" s="30" t="n">
        <x:v>10</x:v>
      </x:c>
      <x:c r="S129" s="30" t="str">
        <x:v>peace</x:v>
      </x:c>
      <x:c r="T129" s="30" t="str">
        <x:v>guardian</x:v>
      </x:c>
      <x:c r="U129" s="30" t="n">
        <x:v>0</x:v>
      </x:c>
      <x:c r="V129" s="36" t="str">
        <x:f>A129&amp;".wav"</x:f>
        <x:v>ION_LILLIA_TRUST.wav</x:v>
      </x:c>
      <x:c r="W129" s="36" t="str">
        <x:v>待审核</x:v>
      </x:c>
      <x:c r="X129" s="36" t="str"/>
      <x:c r="Y129" s="36" t="str">
        <x:v>https://universe.leagueoflegends.com/en_US/champion/lillia/</x:v>
      </x:c>
    </x:row>
    <x:row r="130" ht="68" customHeight="1">
      <x:c r="A130" s="24" t="str">
        <x:v>ION_LILLIA_ANGER</x:v>
      </x:c>
      <x:c r="B130" s="24" t="str">
        <x:v>lillia</x:v>
      </x:c>
      <x:c r="C130" s="24" t="str">
        <x:v>莉莉娅</x:v>
      </x:c>
      <x:c r="D130" s="24" t="str">
        <x:v>ANGER</x:v>
      </x:c>
      <x:c r="E130" s="24" t="str">
        <x:v>被激怒</x:v>
      </x:c>
      <x:c r="F130" s="24" t="str">
        <x:v>玩家触发角色主要怒点</x:v>
      </x:c>
      <x:c r="G130" s="24" t="str">
        <x:v>玩家</x:v>
      </x:c>
      <x:c r="H130" s="24" t="str">
        <x:v>愤怒</x:v>
      </x:c>
      <x:c r="I130" s="24" t="str">
        <x:v>受伤</x:v>
      </x:c>
      <x:c r="J130" s="24" t="n">
        <x:v>4</x:v>
      </x:c>
      <x:c r="K130" s="30" t="str">
        <x:v>别吓它们！梦也会疼，只是醒来的人听不见。</x:v>
      </x:c>
      <x:c r="L130" s="30" t="str">
        <x:v>保持轻柔、犹疑、带梦与花的意象；不可把口吃当唯一角色特征</x:v>
      </x:c>
      <x:c r="M130" s="30" t="n">
        <x:v>4</x:v>
      </x:c>
      <x:c r="N130" s="30" t="n">
        <x:v>-20</x:v>
      </x:c>
      <x:c r="O130" s="30" t="str">
        <x:v>不限</x:v>
      </x:c>
      <x:c r="P130" s="30" t="str">
        <x:v>不限</x:v>
      </x:c>
      <x:c r="Q130" s="30" t="str">
        <x:v>否</x:v>
      </x:c>
      <x:c r="R130" s="30" t="n">
        <x:v>10</x:v>
      </x:c>
      <x:c r="S130" s="30" t="str">
        <x:v>power</x:v>
      </x:c>
      <x:c r="T130" s="30" t="str">
        <x:v>strong</x:v>
      </x:c>
      <x:c r="U130" s="30" t="n">
        <x:v>3</x:v>
      </x:c>
      <x:c r="V130" s="36" t="str">
        <x:f>A130&amp;".wav"</x:f>
        <x:v>ION_LILLIA_ANGER.wav</x:v>
      </x:c>
      <x:c r="W130" s="36" t="str">
        <x:v>待审核</x:v>
      </x:c>
      <x:c r="X130" s="36" t="str"/>
      <x:c r="Y130" s="36" t="str">
        <x:v>https://universe.leagueoflegends.com/en_US/champion/lillia/</x:v>
      </x:c>
    </x:row>
    <x:row r="131" ht="68" customHeight="1">
      <x:c r="A131" s="24" t="str">
        <x:v>ION_LILLIA_HURT</x:v>
      </x:c>
      <x:c r="B131" s="24" t="str">
        <x:v>lillia</x:v>
      </x:c>
      <x:c r="C131" s="24" t="str">
        <x:v>莉莉娅</x:v>
      </x:c>
      <x:c r="D131" s="24" t="str">
        <x:v>HURT</x:v>
      </x:c>
      <x:c r="E131" s="24" t="str">
        <x:v>受伤反馈</x:v>
      </x:c>
      <x:c r="F131" s="24" t="str">
        <x:v>角色受到重击但仍可行动</x:v>
      </x:c>
      <x:c r="G131" s="24" t="str">
        <x:v>玩家</x:v>
      </x:c>
      <x:c r="H131" s="24" t="str">
        <x:v>痛苦</x:v>
      </x:c>
      <x:c r="I131" s="24" t="str">
        <x:v>坚持</x:v>
      </x:c>
      <x:c r="J131" s="24" t="n">
        <x:v>4</x:v>
      </x:c>
      <x:c r="K131" s="30" t="str">
        <x:v>我没事，只是腿有一点不听话……等我数完三片叶子。</x:v>
      </x:c>
      <x:c r="L131" s="30" t="str">
        <x:v>保持轻柔、犹疑、带梦与花的意象；不可把口吃当唯一角色特征</x:v>
      </x:c>
      <x:c r="M131" s="30" t="n">
        <x:v>2</x:v>
      </x:c>
      <x:c r="N131" s="30" t="n">
        <x:v>0</x:v>
      </x:c>
      <x:c r="O131" s="30" t="str">
        <x:v>不限</x:v>
      </x:c>
      <x:c r="P131" s="30" t="str">
        <x:v>不限</x:v>
      </x:c>
      <x:c r="Q131" s="30" t="str">
        <x:v>否</x:v>
      </x:c>
      <x:c r="R131" s="30" t="n">
        <x:v>10</x:v>
      </x:c>
      <x:c r="S131" s="30" t="str">
        <x:v>peace</x:v>
      </x:c>
      <x:c r="T131" s="30" t="str">
        <x:v>guardian</x:v>
      </x:c>
      <x:c r="U131" s="30" t="n">
        <x:v>3</x:v>
      </x:c>
      <x:c r="V131" s="36" t="str">
        <x:f>A131&amp;".wav"</x:f>
        <x:v>ION_LILLIA_HURT.wav</x:v>
      </x:c>
      <x:c r="W131" s="36" t="str">
        <x:v>待审核</x:v>
      </x:c>
      <x:c r="X131" s="36" t="str"/>
      <x:c r="Y131" s="36" t="str">
        <x:v>https://universe.leagueoflegends.com/en_US/champion/lillia/</x:v>
      </x:c>
    </x:row>
    <x:row r="132" ht="68" customHeight="1">
      <x:c r="A132" s="24" t="str">
        <x:v>ION_LILLIA_COMBAT</x:v>
      </x:c>
      <x:c r="B132" s="24" t="str">
        <x:v>lillia</x:v>
      </x:c>
      <x:c r="C132" s="24" t="str">
        <x:v>莉莉娅</x:v>
      </x:c>
      <x:c r="D132" s="24" t="str">
        <x:v>COMBAT</x:v>
      </x:c>
      <x:c r="E132" s="24" t="str">
        <x:v>战斗行动</x:v>
      </x:c>
      <x:c r="F132" s="24" t="str">
        <x:v>角色发动标志性行动</x:v>
      </x:c>
      <x:c r="G132" s="24" t="str">
        <x:v>玩家</x:v>
      </x:c>
      <x:c r="H132" s="24" t="str">
        <x:v>战意</x:v>
      </x:c>
      <x:c r="I132" s="24" t="str">
        <x:v>专注</x:v>
      </x:c>
      <x:c r="J132" s="24" t="n">
        <x:v>4</x:v>
      </x:c>
      <x:c r="K132" s="30" t="str">
        <x:v>睡一小会儿吧，等醒来时，危险已经走远了。</x:v>
      </x:c>
      <x:c r="L132" s="30" t="str">
        <x:v>保持轻柔、犹疑、带梦与花的意象；不可把口吃当唯一角色特征</x:v>
      </x:c>
      <x:c r="M132" s="30" t="n">
        <x:v>2</x:v>
      </x:c>
      <x:c r="N132" s="30" t="n">
        <x:v>0</x:v>
      </x:c>
      <x:c r="O132" s="30" t="str">
        <x:v>不限</x:v>
      </x:c>
      <x:c r="P132" s="30" t="str">
        <x:v>不限</x:v>
      </x:c>
      <x:c r="Q132" s="30" t="str">
        <x:v>否</x:v>
      </x:c>
      <x:c r="R132" s="30" t="n">
        <x:v>10</x:v>
      </x:c>
      <x:c r="S132" s="30" t="str">
        <x:v>power</x:v>
      </x:c>
      <x:c r="T132" s="30" t="str">
        <x:v>strong</x:v>
      </x:c>
      <x:c r="U132" s="30" t="n">
        <x:v>3</x:v>
      </x:c>
      <x:c r="V132" s="36" t="str">
        <x:f>A132&amp;".wav"</x:f>
        <x:v>ION_LILLIA_COMBAT.wav</x:v>
      </x:c>
      <x:c r="W132" s="36" t="str">
        <x:v>待审核</x:v>
      </x:c>
      <x:c r="X132" s="36" t="str"/>
      <x:c r="Y132" s="36" t="str">
        <x:v>https://universe.leagueoflegends.com/en_US/champion/lillia/</x:v>
      </x:c>
    </x:row>
    <x:row r="133" ht="68" customHeight="1">
      <x:c r="A133" s="24" t="str">
        <x:v>ION_LILLIA_VICTORY</x:v>
      </x:c>
      <x:c r="B133" s="24" t="str">
        <x:v>lillia</x:v>
      </x:c>
      <x:c r="C133" s="24" t="str">
        <x:v>莉莉娅</x:v>
      </x:c>
      <x:c r="D133" s="24" t="str">
        <x:v>VICTORY</x:v>
      </x:c>
      <x:c r="E133" s="24" t="str">
        <x:v>战斗胜利</x:v>
      </x:c>
      <x:c r="F133" s="24" t="str">
        <x:v>威胁解除并进入结算</x:v>
      </x:c>
      <x:c r="G133" s="24" t="str">
        <x:v>玩家</x:v>
      </x:c>
      <x:c r="H133" s="24" t="str">
        <x:v>释然</x:v>
      </x:c>
      <x:c r="I133" s="24" t="str">
        <x:v>克制喜悦</x:v>
      </x:c>
      <x:c r="J133" s="24" t="n">
        <x:v>3</x:v>
      </x:c>
      <x:c r="K133" s="30" t="str">
        <x:v>大家的梦又开始发光了。原来勇敢也会留下种子。</x:v>
      </x:c>
      <x:c r="L133" s="30" t="str">
        <x:v>保持轻柔、犹疑、带梦与花的意象；不可把口吃当唯一角色特征</x:v>
      </x:c>
      <x:c r="M133" s="30" t="n">
        <x:v>4</x:v>
      </x:c>
      <x:c r="N133" s="30" t="n">
        <x:v>0</x:v>
      </x:c>
      <x:c r="O133" s="30" t="str">
        <x:v>不限</x:v>
      </x:c>
      <x:c r="P133" s="30" t="str">
        <x:v>不限</x:v>
      </x:c>
      <x:c r="Q133" s="30" t="str">
        <x:v>否</x:v>
      </x:c>
      <x:c r="R133" s="30" t="n">
        <x:v>10</x:v>
      </x:c>
      <x:c r="S133" s="30" t="str">
        <x:v>destiny</x:v>
      </x:c>
      <x:c r="T133" s="30" t="str">
        <x:v>breaker</x:v>
      </x:c>
      <x:c r="U133" s="30" t="n">
        <x:v>3</x:v>
      </x:c>
      <x:c r="V133" s="36" t="str">
        <x:f>A133&amp;".wav"</x:f>
        <x:v>ION_LILLIA_VICTORY.wav</x:v>
      </x:c>
      <x:c r="W133" s="36" t="str">
        <x:v>待审核</x:v>
      </x:c>
      <x:c r="X133" s="36" t="str"/>
      <x:c r="Y133" s="36" t="str">
        <x:v>https://universe.leagueoflegends.com/en_US/champion/lillia/</x:v>
      </x:c>
    </x:row>
    <x:row r="134" ht="68" customHeight="1">
      <x:c r="A134" s="24" t="str">
        <x:v>ION_LILLIA_DEFEAT</x:v>
      </x:c>
      <x:c r="B134" s="24" t="str">
        <x:v>lillia</x:v>
      </x:c>
      <x:c r="C134" s="24" t="str">
        <x:v>莉莉娅</x:v>
      </x:c>
      <x:c r="D134" s="24" t="str">
        <x:v>DEFEAT</x:v>
      </x:c>
      <x:c r="E134" s="24" t="str">
        <x:v>失败撤退</x:v>
      </x:c>
      <x:c r="F134" s="24" t="str">
        <x:v>角色被迫撤离或计划失败</x:v>
      </x:c>
      <x:c r="G134" s="24" t="str">
        <x:v>玩家</x:v>
      </x:c>
      <x:c r="H134" s="24" t="str">
        <x:v>挫败</x:v>
      </x:c>
      <x:c r="I134" s="24" t="str">
        <x:v>反思</x:v>
      </x:c>
      <x:c r="J134" s="24" t="n">
        <x:v>4</x:v>
      </x:c>
      <x:c r="K134" s="30" t="str">
        <x:v>对不起，我让恐惧跑得比我更快。我们先离开这里。</x:v>
      </x:c>
      <x:c r="L134" s="30" t="str">
        <x:v>保持轻柔、犹疑、带梦与花的意象；不可把口吃当唯一角色特征</x:v>
      </x:c>
      <x:c r="M134" s="30" t="n">
        <x:v>5</x:v>
      </x:c>
      <x:c r="N134" s="30" t="n">
        <x:v>0</x:v>
      </x:c>
      <x:c r="O134" s="30" t="str">
        <x:v>不限</x:v>
      </x:c>
      <x:c r="P134" s="30" t="str">
        <x:v>不限</x:v>
      </x:c>
      <x:c r="Q134" s="30" t="str">
        <x:v>否</x:v>
      </x:c>
      <x:c r="R134" s="30" t="n">
        <x:v>10</x:v>
      </x:c>
      <x:c r="S134" s="30" t="str">
        <x:v>spirit</x:v>
      </x:c>
      <x:c r="T134" s="30" t="str">
        <x:v>spirit_fate</x:v>
      </x:c>
      <x:c r="U134" s="30" t="n">
        <x:v>3</x:v>
      </x:c>
      <x:c r="V134" s="36" t="str">
        <x:f>A134&amp;".wav"</x:f>
        <x:v>ION_LILLIA_DEFEAT.wav</x:v>
      </x:c>
      <x:c r="W134" s="36" t="str">
        <x:v>待审核</x:v>
      </x:c>
      <x:c r="X134" s="36" t="str"/>
      <x:c r="Y134" s="36" t="str">
        <x:v>https://universe.leagueoflegends.com/en_US/champion/lillia/</x:v>
      </x:c>
    </x:row>
    <x:row r="135" ht="68" customHeight="1">
      <x:c r="A135" s="24" t="str">
        <x:v>ION_LILLIA_LORE</x:v>
      </x:c>
      <x:c r="B135" s="24" t="str">
        <x:v>lillia</x:v>
      </x:c>
      <x:c r="C135" s="24" t="str">
        <x:v>莉莉娅</x:v>
      </x:c>
      <x:c r="D135" s="24" t="str">
        <x:v>LORE</x:v>
      </x:c>
      <x:c r="E135" s="24" t="str">
        <x:v>世界观讲述</x:v>
      </x:c>
      <x:c r="F135" s="24" t="str">
        <x:v>玩家询问人物、地点或往事</x:v>
      </x:c>
      <x:c r="G135" s="24" t="str">
        <x:v>玩家</x:v>
      </x:c>
      <x:c r="H135" s="24" t="str">
        <x:v>叙述</x:v>
      </x:c>
      <x:c r="I135" s="24" t="str">
        <x:v>怀念</x:v>
      </x:c>
      <x:c r="J135" s="24" t="n">
        <x:v>2</x:v>
      </x:c>
      <x:c r="K135" s="30" t="str">
        <x:v>梦境之树不制造梦想，它只是替人们保管不敢说出口的那部分。</x:v>
      </x:c>
      <x:c r="L135" s="30" t="str">
        <x:v>保持轻柔、犹疑、带梦与花的意象；不可把口吃当唯一角色特征</x:v>
      </x:c>
      <x:c r="M135" s="30" t="n">
        <x:v>8</x:v>
      </x:c>
      <x:c r="N135" s="30" t="n">
        <x:v>0</x:v>
      </x:c>
      <x:c r="O135" s="30" t="str">
        <x:v>不限</x:v>
      </x:c>
      <x:c r="P135" s="30" t="str">
        <x:v>不限</x:v>
      </x:c>
      <x:c r="Q135" s="30" t="str">
        <x:v>是</x:v>
      </x:c>
      <x:c r="R135" s="30" t="n">
        <x:v>10</x:v>
      </x:c>
      <x:c r="S135" s="30" t="str">
        <x:v>spirit</x:v>
      </x:c>
      <x:c r="T135" s="30" t="str">
        <x:v>spirit_fate</x:v>
      </x:c>
      <x:c r="U135" s="30" t="n">
        <x:v>0</x:v>
      </x:c>
      <x:c r="V135" s="36" t="str">
        <x:f>A135&amp;".wav"</x:f>
        <x:v>ION_LILLIA_LORE.wav</x:v>
      </x:c>
      <x:c r="W135" s="36" t="str">
        <x:v>待审核</x:v>
      </x:c>
      <x:c r="X135" s="36" t="str"/>
      <x:c r="Y135" s="36" t="str">
        <x:v>https://universe.leagueoflegends.com/en_US/champion/lillia/</x:v>
      </x:c>
    </x:row>
    <x:row r="136" ht="68" customHeight="1">
      <x:c r="A136" s="24" t="str">
        <x:v>ION_LILLIA_FAREWELL</x:v>
      </x:c>
      <x:c r="B136" s="24" t="str">
        <x:v>lillia</x:v>
      </x:c>
      <x:c r="C136" s="24" t="str">
        <x:v>莉莉娅</x:v>
      </x:c>
      <x:c r="D136" s="24" t="str">
        <x:v>FAREWELL</x:v>
      </x:c>
      <x:c r="E136" s="24" t="str">
        <x:v>阶段告别</x:v>
      </x:c>
      <x:c r="F136" s="24" t="str">
        <x:v>事件结束或角色离开队伍</x:v>
      </x:c>
      <x:c r="G136" s="24" t="str">
        <x:v>玩家</x:v>
      </x:c>
      <x:c r="H136" s="24" t="str">
        <x:v>告别</x:v>
      </x:c>
      <x:c r="I136" s="24" t="str">
        <x:v>复杂</x:v>
      </x:c>
      <x:c r="J136" s="24" t="n">
        <x:v>3</x:v>
      </x:c>
      <x:c r="K136" s="30" t="str">
        <x:v>我要把今晚的梦带回森林。希望你的那一个是温暖的。</x:v>
      </x:c>
      <x:c r="L136" s="30" t="str">
        <x:v>保持轻柔、犹疑、带梦与花的意象；不可把口吃当唯一角色特征</x:v>
      </x:c>
      <x:c r="M136" s="30" t="n">
        <x:v>5</x:v>
      </x:c>
      <x:c r="N136" s="30" t="n">
        <x:v>0</x:v>
      </x:c>
      <x:c r="O136" s="30" t="str">
        <x:v>不限</x:v>
      </x:c>
      <x:c r="P136" s="30" t="str">
        <x:v>不限</x:v>
      </x:c>
      <x:c r="Q136" s="30" t="str">
        <x:v>否</x:v>
      </x:c>
      <x:c r="R136" s="30" t="n">
        <x:v>10</x:v>
      </x:c>
      <x:c r="S136" s="30" t="str">
        <x:v>freedom</x:v>
      </x:c>
      <x:c r="T136" s="30" t="str">
        <x:v>wanderer</x:v>
      </x:c>
      <x:c r="U136" s="30" t="n">
        <x:v>3</x:v>
      </x:c>
      <x:c r="V136" s="36" t="str">
        <x:f>A136&amp;".wav"</x:f>
        <x:v>ION_LILLIA_FAREWELL.wav</x:v>
      </x:c>
      <x:c r="W136" s="36" t="str">
        <x:v>待审核</x:v>
      </x:c>
      <x:c r="X136" s="36" t="str"/>
      <x:c r="Y136" s="36" t="str">
        <x:v>https://universe.leagueoflegends.com/en_US/champion/lillia/</x:v>
      </x:c>
    </x:row>
    <x:row r="137" ht="68" customHeight="1">
      <x:c r="A137" s="24" t="str">
        <x:v>ION_MASTER_YI_MEET</x:v>
      </x:c>
      <x:c r="B137" s="24" t="str">
        <x:v>master_yi</x:v>
      </x:c>
      <x:c r="C137" s="24" t="str">
        <x:v>易</x:v>
      </x:c>
      <x:c r="D137" s="24" t="str">
        <x:v>MEET</x:v>
      </x:c>
      <x:c r="E137" s="24" t="str">
        <x:v>初次相遇</x:v>
      </x:c>
      <x:c r="F137" s="24" t="str">
        <x:v>玩家第一次接近角色</x:v>
      </x:c>
      <x:c r="G137" s="24" t="str">
        <x:v>玩家</x:v>
      </x:c>
      <x:c r="H137" s="24" t="str">
        <x:v>审视</x:v>
      </x:c>
      <x:c r="I137" s="24" t="str">
        <x:v>中性</x:v>
      </x:c>
      <x:c r="J137" s="24" t="n">
        <x:v>2</x:v>
      </x:c>
      <x:c r="K137" s="30" t="str">
        <x:v>握剑之前，先回答你为何而来。答案会决定剑的重量。</x:v>
      </x:c>
      <x:c r="L137" s="30" t="str">
        <x:v>保持精炼、哲思、以动作和自然作比；避免连续格言与刻板大师腔</x:v>
      </x:c>
      <x:c r="M137" s="30" t="n">
        <x:v>4</x:v>
      </x:c>
      <x:c r="N137" s="30" t="n">
        <x:v>0</x:v>
      </x:c>
      <x:c r="O137" s="30" t="str">
        <x:v>不限</x:v>
      </x:c>
      <x:c r="P137" s="30" t="str">
        <x:v>不限</x:v>
      </x:c>
      <x:c r="Q137" s="30" t="str">
        <x:v>是</x:v>
      </x:c>
      <x:c r="R137" s="30" t="n">
        <x:v>10</x:v>
      </x:c>
      <x:c r="S137" s="30" t="str">
        <x:v>destiny</x:v>
      </x:c>
      <x:c r="T137" s="30" t="str">
        <x:v>breaker</x:v>
      </x:c>
      <x:c r="U137" s="30" t="n">
        <x:v>0</x:v>
      </x:c>
      <x:c r="V137" s="36" t="str">
        <x:f>A137&amp;".wav"</x:f>
        <x:v>ION_MASTER_YI_MEET.wav</x:v>
      </x:c>
      <x:c r="W137" s="36" t="str">
        <x:v>待审核</x:v>
      </x:c>
      <x:c r="X137" s="36" t="str"/>
      <x:c r="Y137" s="36" t="str">
        <x:v>https://universe.leagueoflegends.com/en_US/champion/masteryi/</x:v>
      </x:c>
    </x:row>
    <x:row r="138" ht="68" customHeight="1">
      <x:c r="A138" s="24" t="str">
        <x:v>ION_MASTER_YI_GREET</x:v>
      </x:c>
      <x:c r="B138" s="24" t="str">
        <x:v>master_yi</x:v>
      </x:c>
      <x:c r="C138" s="24" t="str">
        <x:v>易</x:v>
      </x:c>
      <x:c r="D138" s="24" t="str">
        <x:v>GREET</x:v>
      </x:c>
      <x:c r="E138" s="24" t="str">
        <x:v>友好问候</x:v>
      </x:c>
      <x:c r="F138" s="24" t="str">
        <x:v>关系值达到友好后进入对话</x:v>
      </x:c>
      <x:c r="G138" s="24" t="str">
        <x:v>玩家</x:v>
      </x:c>
      <x:c r="H138" s="24" t="str">
        <x:v>友善</x:v>
      </x:c>
      <x:c r="I138" s="24" t="str">
        <x:v>喜悦</x:v>
      </x:c>
      <x:c r="J138" s="24" t="n">
        <x:v>2</x:v>
      </x:c>
      <x:c r="K138" s="30" t="str">
        <x:v>你的步伐少了炫耀，多了目的。很好。</x:v>
      </x:c>
      <x:c r="L138" s="30" t="str">
        <x:v>保持精炼、哲思、以动作和自然作比；避免连续格言与刻板大师腔</x:v>
      </x:c>
      <x:c r="M138" s="30" t="n">
        <x:v>3</x:v>
      </x:c>
      <x:c r="N138" s="30" t="n">
        <x:v>10</x:v>
      </x:c>
      <x:c r="O138" s="30" t="str">
        <x:v>不限</x:v>
      </x:c>
      <x:c r="P138" s="30" t="str">
        <x:v>不限</x:v>
      </x:c>
      <x:c r="Q138" s="30" t="str">
        <x:v>否</x:v>
      </x:c>
      <x:c r="R138" s="30" t="n">
        <x:v>10</x:v>
      </x:c>
      <x:c r="S138" s="30" t="str">
        <x:v>peace</x:v>
      </x:c>
      <x:c r="T138" s="30" t="str">
        <x:v>guardian</x:v>
      </x:c>
      <x:c r="U138" s="30" t="n">
        <x:v>3</x:v>
      </x:c>
      <x:c r="V138" s="36" t="str">
        <x:f>A138&amp;".wav"</x:f>
        <x:v>ION_MASTER_YI_GREET.wav</x:v>
      </x:c>
      <x:c r="W138" s="36" t="str">
        <x:v>待审核</x:v>
      </x:c>
      <x:c r="X138" s="36" t="str"/>
      <x:c r="Y138" s="36" t="str">
        <x:v>https://universe.leagueoflegends.com/en_US/champion/masteryi/</x:v>
      </x:c>
    </x:row>
    <x:row r="139" ht="68" customHeight="1">
      <x:c r="A139" s="24" t="str">
        <x:v>ION_MASTER_YI_WARN</x:v>
      </x:c>
      <x:c r="B139" s="24" t="str">
        <x:v>master_yi</x:v>
      </x:c>
      <x:c r="C139" s="24" t="str">
        <x:v>易</x:v>
      </x:c>
      <x:c r="D139" s="24" t="str">
        <x:v>WARN</x:v>
      </x:c>
      <x:c r="E139" s="24" t="str">
        <x:v>危险警告</x:v>
      </x:c>
      <x:c r="F139" s="24" t="str">
        <x:v>区域威胁或伏击即将发生</x:v>
      </x:c>
      <x:c r="G139" s="24" t="str">
        <x:v>玩家</x:v>
      </x:c>
      <x:c r="H139" s="24" t="str">
        <x:v>紧张</x:v>
      </x:c>
      <x:c r="I139" s="24" t="str">
        <x:v>警觉</x:v>
      </x:c>
      <x:c r="J139" s="24" t="n">
        <x:v>3</x:v>
      </x:c>
      <x:c r="K139" s="30" t="str">
        <x:v>风中有金属与药剂的气味。战争留下的手法又回来了。</x:v>
      </x:c>
      <x:c r="L139" s="30" t="str">
        <x:v>保持精炼、哲思、以动作和自然作比；避免连续格言与刻板大师腔</x:v>
      </x:c>
      <x:c r="M139" s="30" t="n">
        <x:v>3</x:v>
      </x:c>
      <x:c r="N139" s="30" t="n">
        <x:v>0</x:v>
      </x:c>
      <x:c r="O139" s="30" t="str">
        <x:v>不限</x:v>
      </x:c>
      <x:c r="P139" s="30" t="str">
        <x:v>不限</x:v>
      </x:c>
      <x:c r="Q139" s="30" t="str">
        <x:v>否</x:v>
      </x:c>
      <x:c r="R139" s="30" t="n">
        <x:v>10</x:v>
      </x:c>
      <x:c r="S139" s="30" t="str">
        <x:v>destiny</x:v>
      </x:c>
      <x:c r="T139" s="30" t="str">
        <x:v>breaker</x:v>
      </x:c>
      <x:c r="U139" s="30" t="n">
        <x:v>3</x:v>
      </x:c>
      <x:c r="V139" s="36" t="str">
        <x:f>A139&amp;".wav"</x:f>
        <x:v>ION_MASTER_YI_WARN.wav</x:v>
      </x:c>
      <x:c r="W139" s="36" t="str">
        <x:v>待审核</x:v>
      </x:c>
      <x:c r="X139" s="36" t="str"/>
      <x:c r="Y139" s="36" t="str">
        <x:v>https://universe.leagueoflegends.com/en_US/champion/masteryi/</x:v>
      </x:c>
    </x:row>
    <x:row r="140" ht="68" customHeight="1">
      <x:c r="A140" s="24" t="str">
        <x:v>ION_MASTER_YI_REFUSE</x:v>
      </x:c>
      <x:c r="B140" s="24" t="str">
        <x:v>master_yi</x:v>
      </x:c>
      <x:c r="C140" s="24" t="str">
        <x:v>易</x:v>
      </x:c>
      <x:c r="D140" s="24" t="str">
        <x:v>REFUSE</x:v>
      </x:c>
      <x:c r="E140" s="24" t="str">
        <x:v>拒绝请求</x:v>
      </x:c>
      <x:c r="F140" s="24" t="str">
        <x:v>玩家请求触碰角色底线</x:v>
      </x:c>
      <x:c r="G140" s="24" t="str">
        <x:v>玩家</x:v>
      </x:c>
      <x:c r="H140" s="24" t="str">
        <x:v>拒绝</x:v>
      </x:c>
      <x:c r="I140" s="24" t="str">
        <x:v>厌恶</x:v>
      </x:c>
      <x:c r="J140" s="24" t="n">
        <x:v>3</x:v>
      </x:c>
      <x:c r="K140" s="30" t="str">
        <x:v>无极之道不是供人借来证明自己的捷径。</x:v>
      </x:c>
      <x:c r="L140" s="30" t="str">
        <x:v>保持精炼、哲思、以动作和自然作比；避免连续格言与刻板大师腔</x:v>
      </x:c>
      <x:c r="M140" s="30" t="n">
        <x:v>4</x:v>
      </x:c>
      <x:c r="N140" s="30" t="n">
        <x:v>-20</x:v>
      </x:c>
      <x:c r="O140" s="30" t="str">
        <x:v>不限</x:v>
      </x:c>
      <x:c r="P140" s="30" t="str">
        <x:v>不限</x:v>
      </x:c>
      <x:c r="Q140" s="30" t="str">
        <x:v>否</x:v>
      </x:c>
      <x:c r="R140" s="30" t="n">
        <x:v>10</x:v>
      </x:c>
      <x:c r="S140" s="30" t="str">
        <x:v>freedom</x:v>
      </x:c>
      <x:c r="T140" s="30" t="str">
        <x:v>wanderer</x:v>
      </x:c>
      <x:c r="U140" s="30" t="n">
        <x:v>3</x:v>
      </x:c>
      <x:c r="V140" s="36" t="str">
        <x:f>A140&amp;".wav"</x:f>
        <x:v>ION_MASTER_YI_REFUSE.wav</x:v>
      </x:c>
      <x:c r="W140" s="36" t="str">
        <x:v>待审核</x:v>
      </x:c>
      <x:c r="X140" s="36" t="str"/>
      <x:c r="Y140" s="36" t="str">
        <x:v>https://universe.leagueoflegends.com/en_US/champion/masteryi/</x:v>
      </x:c>
    </x:row>
    <x:row r="141" ht="68" customHeight="1">
      <x:c r="A141" s="24" t="str">
        <x:v>ION_MASTER_YI_TRUST</x:v>
      </x:c>
      <x:c r="B141" s="24" t="str">
        <x:v>master_yi</x:v>
      </x:c>
      <x:c r="C141" s="24" t="str">
        <x:v>易</x:v>
      </x:c>
      <x:c r="D141" s="24" t="str">
        <x:v>TRUST</x:v>
      </x:c>
      <x:c r="E141" s="24" t="str">
        <x:v>建立信任</x:v>
      </x:c>
      <x:c r="F141" s="24" t="str">
        <x:v>玩家满足角色的信任条件</x:v>
      </x:c>
      <x:c r="G141" s="24" t="str">
        <x:v>玩家</x:v>
      </x:c>
      <x:c r="H141" s="24" t="str">
        <x:v>信任</x:v>
      </x:c>
      <x:c r="I141" s="24" t="str">
        <x:v>柔和</x:v>
      </x:c>
      <x:c r="J141" s="24" t="n">
        <x:v>3</x:v>
      </x:c>
      <x:c r="K141" s="30" t="str">
        <x:v>我会示范一次。你能学到多少，取决于你看见了什么。</x:v>
      </x:c>
      <x:c r="L141" s="30" t="str">
        <x:v>保持精炼、哲思、以动作和自然作比；避免连续格言与刻板大师腔</x:v>
      </x:c>
      <x:c r="M141" s="30" t="n">
        <x:v>5</x:v>
      </x:c>
      <x:c r="N141" s="30" t="n">
        <x:v>40</x:v>
      </x:c>
      <x:c r="O141" s="30" t="str">
        <x:v>不限</x:v>
      </x:c>
      <x:c r="P141" s="30" t="str">
        <x:v>不限</x:v>
      </x:c>
      <x:c r="Q141" s="30" t="str">
        <x:v>是</x:v>
      </x:c>
      <x:c r="R141" s="30" t="n">
        <x:v>10</x:v>
      </x:c>
      <x:c r="S141" s="30" t="str">
        <x:v>peace</x:v>
      </x:c>
      <x:c r="T141" s="30" t="str">
        <x:v>guardian</x:v>
      </x:c>
      <x:c r="U141" s="30" t="n">
        <x:v>0</x:v>
      </x:c>
      <x:c r="V141" s="36" t="str">
        <x:f>A141&amp;".wav"</x:f>
        <x:v>ION_MASTER_YI_TRUST.wav</x:v>
      </x:c>
      <x:c r="W141" s="36" t="str">
        <x:v>待审核</x:v>
      </x:c>
      <x:c r="X141" s="36" t="str"/>
      <x:c r="Y141" s="36" t="str">
        <x:v>https://universe.leagueoflegends.com/en_US/champion/masteryi/</x:v>
      </x:c>
    </x:row>
    <x:row r="142" ht="68" customHeight="1">
      <x:c r="A142" s="24" t="str">
        <x:v>ION_MASTER_YI_ANGER</x:v>
      </x:c>
      <x:c r="B142" s="24" t="str">
        <x:v>master_yi</x:v>
      </x:c>
      <x:c r="C142" s="24" t="str">
        <x:v>易</x:v>
      </x:c>
      <x:c r="D142" s="24" t="str">
        <x:v>ANGER</x:v>
      </x:c>
      <x:c r="E142" s="24" t="str">
        <x:v>被激怒</x:v>
      </x:c>
      <x:c r="F142" s="24" t="str">
        <x:v>玩家触发角色主要怒点</x:v>
      </x:c>
      <x:c r="G142" s="24" t="str">
        <x:v>玩家</x:v>
      </x:c>
      <x:c r="H142" s="24" t="str">
        <x:v>愤怒</x:v>
      </x:c>
      <x:c r="I142" s="24" t="str">
        <x:v>受伤</x:v>
      </x:c>
      <x:c r="J142" s="24" t="n">
        <x:v>4</x:v>
      </x:c>
      <x:c r="K142" s="30" t="str">
        <x:v>不要把速度误认为高明。失去方向的快，只会更早抵达错误。</x:v>
      </x:c>
      <x:c r="L142" s="30" t="str">
        <x:v>保持精炼、哲思、以动作和自然作比；避免连续格言与刻板大师腔</x:v>
      </x:c>
      <x:c r="M142" s="30" t="n">
        <x:v>4</x:v>
      </x:c>
      <x:c r="N142" s="30" t="n">
        <x:v>-20</x:v>
      </x:c>
      <x:c r="O142" s="30" t="str">
        <x:v>不限</x:v>
      </x:c>
      <x:c r="P142" s="30" t="str">
        <x:v>不限</x:v>
      </x:c>
      <x:c r="Q142" s="30" t="str">
        <x:v>否</x:v>
      </x:c>
      <x:c r="R142" s="30" t="n">
        <x:v>10</x:v>
      </x:c>
      <x:c r="S142" s="30" t="str">
        <x:v>power</x:v>
      </x:c>
      <x:c r="T142" s="30" t="str">
        <x:v>strong</x:v>
      </x:c>
      <x:c r="U142" s="30" t="n">
        <x:v>3</x:v>
      </x:c>
      <x:c r="V142" s="36" t="str">
        <x:f>A142&amp;".wav"</x:f>
        <x:v>ION_MASTER_YI_ANGER.wav</x:v>
      </x:c>
      <x:c r="W142" s="36" t="str">
        <x:v>待审核</x:v>
      </x:c>
      <x:c r="X142" s="36" t="str"/>
      <x:c r="Y142" s="36" t="str">
        <x:v>https://universe.leagueoflegends.com/en_US/champion/masteryi/</x:v>
      </x:c>
    </x:row>
    <x:row r="143" ht="68" customHeight="1">
      <x:c r="A143" s="24" t="str">
        <x:v>ION_MASTER_YI_HURT</x:v>
      </x:c>
      <x:c r="B143" s="24" t="str">
        <x:v>master_yi</x:v>
      </x:c>
      <x:c r="C143" s="24" t="str">
        <x:v>易</x:v>
      </x:c>
      <x:c r="D143" s="24" t="str">
        <x:v>HURT</x:v>
      </x:c>
      <x:c r="E143" s="24" t="str">
        <x:v>受伤反馈</x:v>
      </x:c>
      <x:c r="F143" s="24" t="str">
        <x:v>角色受到重击但仍可行动</x:v>
      </x:c>
      <x:c r="G143" s="24" t="str">
        <x:v>玩家</x:v>
      </x:c>
      <x:c r="H143" s="24" t="str">
        <x:v>痛苦</x:v>
      </x:c>
      <x:c r="I143" s="24" t="str">
        <x:v>坚持</x:v>
      </x:c>
      <x:c r="J143" s="24" t="n">
        <x:v>4</x:v>
      </x:c>
      <x:c r="K143" s="30" t="str">
        <x:v>伤口可以处理。被愤怒带走的判断更危险。</x:v>
      </x:c>
      <x:c r="L143" s="30" t="str">
        <x:v>保持精炼、哲思、以动作和自然作比；避免连续格言与刻板大师腔</x:v>
      </x:c>
      <x:c r="M143" s="30" t="n">
        <x:v>2</x:v>
      </x:c>
      <x:c r="N143" s="30" t="n">
        <x:v>0</x:v>
      </x:c>
      <x:c r="O143" s="30" t="str">
        <x:v>不限</x:v>
      </x:c>
      <x:c r="P143" s="30" t="str">
        <x:v>不限</x:v>
      </x:c>
      <x:c r="Q143" s="30" t="str">
        <x:v>否</x:v>
      </x:c>
      <x:c r="R143" s="30" t="n">
        <x:v>10</x:v>
      </x:c>
      <x:c r="S143" s="30" t="str">
        <x:v>peace</x:v>
      </x:c>
      <x:c r="T143" s="30" t="str">
        <x:v>guardian</x:v>
      </x:c>
      <x:c r="U143" s="30" t="n">
        <x:v>3</x:v>
      </x:c>
      <x:c r="V143" s="36" t="str">
        <x:f>A143&amp;".wav"</x:f>
        <x:v>ION_MASTER_YI_HURT.wav</x:v>
      </x:c>
      <x:c r="W143" s="36" t="str">
        <x:v>待审核</x:v>
      </x:c>
      <x:c r="X143" s="36" t="str"/>
      <x:c r="Y143" s="36" t="str">
        <x:v>https://universe.leagueoflegends.com/en_US/champion/masteryi/</x:v>
      </x:c>
    </x:row>
    <x:row r="144" ht="68" customHeight="1">
      <x:c r="A144" s="24" t="str">
        <x:v>ION_MASTER_YI_COMBAT</x:v>
      </x:c>
      <x:c r="B144" s="24" t="str">
        <x:v>master_yi</x:v>
      </x:c>
      <x:c r="C144" s="24" t="str">
        <x:v>易</x:v>
      </x:c>
      <x:c r="D144" s="24" t="str">
        <x:v>COMBAT</x:v>
      </x:c>
      <x:c r="E144" s="24" t="str">
        <x:v>战斗行动</x:v>
      </x:c>
      <x:c r="F144" s="24" t="str">
        <x:v>角色发动标志性行动</x:v>
      </x:c>
      <x:c r="G144" s="24" t="str">
        <x:v>玩家</x:v>
      </x:c>
      <x:c r="H144" s="24" t="str">
        <x:v>战意</x:v>
      </x:c>
      <x:c r="I144" s="24" t="str">
        <x:v>专注</x:v>
      </x:c>
      <x:c r="J144" s="24" t="n">
        <x:v>4</x:v>
      </x:c>
      <x:c r="K144" s="30" t="str">
        <x:v>看清这一剑之前，你不会知道它已经结束。</x:v>
      </x:c>
      <x:c r="L144" s="30" t="str">
        <x:v>保持精炼、哲思、以动作和自然作比；避免连续格言与刻板大师腔</x:v>
      </x:c>
      <x:c r="M144" s="30" t="n">
        <x:v>2</x:v>
      </x:c>
      <x:c r="N144" s="30" t="n">
        <x:v>0</x:v>
      </x:c>
      <x:c r="O144" s="30" t="str">
        <x:v>不限</x:v>
      </x:c>
      <x:c r="P144" s="30" t="str">
        <x:v>不限</x:v>
      </x:c>
      <x:c r="Q144" s="30" t="str">
        <x:v>否</x:v>
      </x:c>
      <x:c r="R144" s="30" t="n">
        <x:v>10</x:v>
      </x:c>
      <x:c r="S144" s="30" t="str">
        <x:v>power</x:v>
      </x:c>
      <x:c r="T144" s="30" t="str">
        <x:v>strong</x:v>
      </x:c>
      <x:c r="U144" s="30" t="n">
        <x:v>3</x:v>
      </x:c>
      <x:c r="V144" s="36" t="str">
        <x:f>A144&amp;".wav"</x:f>
        <x:v>ION_MASTER_YI_COMBAT.wav</x:v>
      </x:c>
      <x:c r="W144" s="36" t="str">
        <x:v>待审核</x:v>
      </x:c>
      <x:c r="X144" s="36" t="str"/>
      <x:c r="Y144" s="36" t="str">
        <x:v>https://universe.leagueoflegends.com/en_US/champion/masteryi/</x:v>
      </x:c>
    </x:row>
    <x:row r="145" ht="68" customHeight="1">
      <x:c r="A145" s="24" t="str">
        <x:v>ION_MASTER_YI_VICTORY</x:v>
      </x:c>
      <x:c r="B145" s="24" t="str">
        <x:v>master_yi</x:v>
      </x:c>
      <x:c r="C145" s="24" t="str">
        <x:v>易</x:v>
      </x:c>
      <x:c r="D145" s="24" t="str">
        <x:v>VICTORY</x:v>
      </x:c>
      <x:c r="E145" s="24" t="str">
        <x:v>战斗胜利</x:v>
      </x:c>
      <x:c r="F145" s="24" t="str">
        <x:v>威胁解除并进入结算</x:v>
      </x:c>
      <x:c r="G145" s="24" t="str">
        <x:v>玩家</x:v>
      </x:c>
      <x:c r="H145" s="24" t="str">
        <x:v>释然</x:v>
      </x:c>
      <x:c r="I145" s="24" t="str">
        <x:v>克制喜悦</x:v>
      </x:c>
      <x:c r="J145" s="24" t="n">
        <x:v>3</x:v>
      </x:c>
      <x:c r="K145" s="30" t="str">
        <x:v>收剑。真正需要保存的不是胜利，而是之后仍能传下去的东西。</x:v>
      </x:c>
      <x:c r="L145" s="30" t="str">
        <x:v>保持精炼、哲思、以动作和自然作比；避免连续格言与刻板大师腔</x:v>
      </x:c>
      <x:c r="M145" s="30" t="n">
        <x:v>4</x:v>
      </x:c>
      <x:c r="N145" s="30" t="n">
        <x:v>0</x:v>
      </x:c>
      <x:c r="O145" s="30" t="str">
        <x:v>不限</x:v>
      </x:c>
      <x:c r="P145" s="30" t="str">
        <x:v>不限</x:v>
      </x:c>
      <x:c r="Q145" s="30" t="str">
        <x:v>否</x:v>
      </x:c>
      <x:c r="R145" s="30" t="n">
        <x:v>10</x:v>
      </x:c>
      <x:c r="S145" s="30" t="str">
        <x:v>destiny</x:v>
      </x:c>
      <x:c r="T145" s="30" t="str">
        <x:v>breaker</x:v>
      </x:c>
      <x:c r="U145" s="30" t="n">
        <x:v>3</x:v>
      </x:c>
      <x:c r="V145" s="36" t="str">
        <x:f>A145&amp;".wav"</x:f>
        <x:v>ION_MASTER_YI_VICTORY.wav</x:v>
      </x:c>
      <x:c r="W145" s="36" t="str">
        <x:v>待审核</x:v>
      </x:c>
      <x:c r="X145" s="36" t="str"/>
      <x:c r="Y145" s="36" t="str">
        <x:v>https://universe.leagueoflegends.com/en_US/champion/masteryi/</x:v>
      </x:c>
    </x:row>
    <x:row r="146" ht="68" customHeight="1">
      <x:c r="A146" s="24" t="str">
        <x:v>ION_MASTER_YI_DEFEAT</x:v>
      </x:c>
      <x:c r="B146" s="24" t="str">
        <x:v>master_yi</x:v>
      </x:c>
      <x:c r="C146" s="24" t="str">
        <x:v>易</x:v>
      </x:c>
      <x:c r="D146" s="24" t="str">
        <x:v>DEFEAT</x:v>
      </x:c>
      <x:c r="E146" s="24" t="str">
        <x:v>失败撤退</x:v>
      </x:c>
      <x:c r="F146" s="24" t="str">
        <x:v>角色被迫撤离或计划失败</x:v>
      </x:c>
      <x:c r="G146" s="24" t="str">
        <x:v>玩家</x:v>
      </x:c>
      <x:c r="H146" s="24" t="str">
        <x:v>挫败</x:v>
      </x:c>
      <x:c r="I146" s="24" t="str">
        <x:v>反思</x:v>
      </x:c>
      <x:c r="J146" s="24" t="n">
        <x:v>4</x:v>
      </x:c>
      <x:c r="K146" s="30" t="str">
        <x:v>我选择错了出剑的时机。先护住后来者。</x:v>
      </x:c>
      <x:c r="L146" s="30" t="str">
        <x:v>保持精炼、哲思、以动作和自然作比；避免连续格言与刻板大师腔</x:v>
      </x:c>
      <x:c r="M146" s="30" t="n">
        <x:v>5</x:v>
      </x:c>
      <x:c r="N146" s="30" t="n">
        <x:v>0</x:v>
      </x:c>
      <x:c r="O146" s="30" t="str">
        <x:v>不限</x:v>
      </x:c>
      <x:c r="P146" s="30" t="str">
        <x:v>不限</x:v>
      </x:c>
      <x:c r="Q146" s="30" t="str">
        <x:v>否</x:v>
      </x:c>
      <x:c r="R146" s="30" t="n">
        <x:v>10</x:v>
      </x:c>
      <x:c r="S146" s="30" t="str">
        <x:v>spirit</x:v>
      </x:c>
      <x:c r="T146" s="30" t="str">
        <x:v>spirit_fate</x:v>
      </x:c>
      <x:c r="U146" s="30" t="n">
        <x:v>3</x:v>
      </x:c>
      <x:c r="V146" s="36" t="str">
        <x:f>A146&amp;".wav"</x:f>
        <x:v>ION_MASTER_YI_DEFEAT.wav</x:v>
      </x:c>
      <x:c r="W146" s="36" t="str">
        <x:v>待审核</x:v>
      </x:c>
      <x:c r="X146" s="36" t="str"/>
      <x:c r="Y146" s="36" t="str">
        <x:v>https://universe.leagueoflegends.com/en_US/champion/masteryi/</x:v>
      </x:c>
    </x:row>
    <x:row r="147" ht="68" customHeight="1">
      <x:c r="A147" s="24" t="str">
        <x:v>ION_MASTER_YI_LORE</x:v>
      </x:c>
      <x:c r="B147" s="24" t="str">
        <x:v>master_yi</x:v>
      </x:c>
      <x:c r="C147" s="24" t="str">
        <x:v>易</x:v>
      </x:c>
      <x:c r="D147" s="24" t="str">
        <x:v>LORE</x:v>
      </x:c>
      <x:c r="E147" s="24" t="str">
        <x:v>世界观讲述</x:v>
      </x:c>
      <x:c r="F147" s="24" t="str">
        <x:v>玩家询问人物、地点或往事</x:v>
      </x:c>
      <x:c r="G147" s="24" t="str">
        <x:v>玩家</x:v>
      </x:c>
      <x:c r="H147" s="24" t="str">
        <x:v>叙述</x:v>
      </x:c>
      <x:c r="I147" s="24" t="str">
        <x:v>怀念</x:v>
      </x:c>
      <x:c r="J147" s="24" t="n">
        <x:v>2</x:v>
      </x:c>
      <x:c r="K147" s="30" t="str">
        <x:v>无极村教我，剑术最高处不是毁灭，而是知道何时让力量停下。</x:v>
      </x:c>
      <x:c r="L147" s="30" t="str">
        <x:v>保持精炼、哲思、以动作和自然作比；避免连续格言与刻板大师腔</x:v>
      </x:c>
      <x:c r="M147" s="30" t="n">
        <x:v>8</x:v>
      </x:c>
      <x:c r="N147" s="30" t="n">
        <x:v>0</x:v>
      </x:c>
      <x:c r="O147" s="30" t="str">
        <x:v>不限</x:v>
      </x:c>
      <x:c r="P147" s="30" t="str">
        <x:v>不限</x:v>
      </x:c>
      <x:c r="Q147" s="30" t="str">
        <x:v>是</x:v>
      </x:c>
      <x:c r="R147" s="30" t="n">
        <x:v>10</x:v>
      </x:c>
      <x:c r="S147" s="30" t="str">
        <x:v>spirit</x:v>
      </x:c>
      <x:c r="T147" s="30" t="str">
        <x:v>spirit_fate</x:v>
      </x:c>
      <x:c r="U147" s="30" t="n">
        <x:v>0</x:v>
      </x:c>
      <x:c r="V147" s="36" t="str">
        <x:f>A147&amp;".wav"</x:f>
        <x:v>ION_MASTER_YI_LORE.wav</x:v>
      </x:c>
      <x:c r="W147" s="36" t="str">
        <x:v>待审核</x:v>
      </x:c>
      <x:c r="X147" s="36" t="str"/>
      <x:c r="Y147" s="36" t="str">
        <x:v>https://universe.leagueoflegends.com/en_US/champion/masteryi/</x:v>
      </x:c>
    </x:row>
    <x:row r="148" ht="68" customHeight="1">
      <x:c r="A148" s="24" t="str">
        <x:v>ION_MASTER_YI_FAREWELL</x:v>
      </x:c>
      <x:c r="B148" s="24" t="str">
        <x:v>master_yi</x:v>
      </x:c>
      <x:c r="C148" s="24" t="str">
        <x:v>易</x:v>
      </x:c>
      <x:c r="D148" s="24" t="str">
        <x:v>FAREWELL</x:v>
      </x:c>
      <x:c r="E148" s="24" t="str">
        <x:v>阶段告别</x:v>
      </x:c>
      <x:c r="F148" s="24" t="str">
        <x:v>事件结束或角色离开队伍</x:v>
      </x:c>
      <x:c r="G148" s="24" t="str">
        <x:v>玩家</x:v>
      </x:c>
      <x:c r="H148" s="24" t="str">
        <x:v>告别</x:v>
      </x:c>
      <x:c r="I148" s="24" t="str">
        <x:v>复杂</x:v>
      </x:c>
      <x:c r="J148" s="24" t="n">
        <x:v>3</x:v>
      </x:c>
      <x:c r="K148" s="30" t="str">
        <x:v>继续练习。下次见面，我会从你的第一步看见答案。</x:v>
      </x:c>
      <x:c r="L148" s="30" t="str">
        <x:v>保持精炼、哲思、以动作和自然作比；避免连续格言与刻板大师腔</x:v>
      </x:c>
      <x:c r="M148" s="30" t="n">
        <x:v>5</x:v>
      </x:c>
      <x:c r="N148" s="30" t="n">
        <x:v>0</x:v>
      </x:c>
      <x:c r="O148" s="30" t="str">
        <x:v>不限</x:v>
      </x:c>
      <x:c r="P148" s="30" t="str">
        <x:v>不限</x:v>
      </x:c>
      <x:c r="Q148" s="30" t="str">
        <x:v>否</x:v>
      </x:c>
      <x:c r="R148" s="30" t="n">
        <x:v>10</x:v>
      </x:c>
      <x:c r="S148" s="30" t="str">
        <x:v>freedom</x:v>
      </x:c>
      <x:c r="T148" s="30" t="str">
        <x:v>wanderer</x:v>
      </x:c>
      <x:c r="U148" s="30" t="n">
        <x:v>3</x:v>
      </x:c>
      <x:c r="V148" s="36" t="str">
        <x:f>A148&amp;".wav"</x:f>
        <x:v>ION_MASTER_YI_FAREWELL.wav</x:v>
      </x:c>
      <x:c r="W148" s="36" t="str">
        <x:v>待审核</x:v>
      </x:c>
      <x:c r="X148" s="36" t="str"/>
      <x:c r="Y148" s="36" t="str">
        <x:v>https://universe.leagueoflegends.com/en_US/champion/masteryi/</x:v>
      </x:c>
    </x:row>
    <x:row r="149" ht="68" customHeight="1">
      <x:c r="A149" s="24" t="str">
        <x:v>ION_RAKAN_MEET</x:v>
      </x:c>
      <x:c r="B149" s="24" t="str">
        <x:v>rakan</x:v>
      </x:c>
      <x:c r="C149" s="24" t="str">
        <x:v>洛</x:v>
      </x:c>
      <x:c r="D149" s="24" t="str">
        <x:v>MEET</x:v>
      </x:c>
      <x:c r="E149" s="24" t="str">
        <x:v>初次相遇</x:v>
      </x:c>
      <x:c r="F149" s="24" t="str">
        <x:v>玩家第一次接近角色</x:v>
      </x:c>
      <x:c r="G149" s="24" t="str">
        <x:v>玩家</x:v>
      </x:c>
      <x:c r="H149" s="24" t="str">
        <x:v>审视</x:v>
      </x:c>
      <x:c r="I149" s="24" t="str">
        <x:v>中性</x:v>
      </x:c>
      <x:c r="J149" s="24" t="n">
        <x:v>2</x:v>
      </x:c>
      <x:c r="K149" s="30" t="str">
        <x:v>等等，别动——对，就是这个角度。现在我们的相遇看起来好多了。</x:v>
      </x:c>
      <x:c r="L149" s="30" t="str">
        <x:v>保持跳跃、明亮、富有节奏；避免油腻和持续轻浮</x:v>
      </x:c>
      <x:c r="M149" s="30" t="n">
        <x:v>4</x:v>
      </x:c>
      <x:c r="N149" s="30" t="n">
        <x:v>0</x:v>
      </x:c>
      <x:c r="O149" s="30" t="str">
        <x:v>不限</x:v>
      </x:c>
      <x:c r="P149" s="30" t="str">
        <x:v>不限</x:v>
      </x:c>
      <x:c r="Q149" s="30" t="str">
        <x:v>是</x:v>
      </x:c>
      <x:c r="R149" s="30" t="n">
        <x:v>10</x:v>
      </x:c>
      <x:c r="S149" s="30" t="str">
        <x:v>destiny</x:v>
      </x:c>
      <x:c r="T149" s="30" t="str">
        <x:v>breaker</x:v>
      </x:c>
      <x:c r="U149" s="30" t="n">
        <x:v>0</x:v>
      </x:c>
      <x:c r="V149" s="36" t="str">
        <x:f>A149&amp;".wav"</x:f>
        <x:v>ION_RAKAN_MEET.wav</x:v>
      </x:c>
      <x:c r="W149" s="36" t="str">
        <x:v>待审核</x:v>
      </x:c>
      <x:c r="X149" s="36" t="str"/>
      <x:c r="Y149" s="36" t="str">
        <x:v>https://universe.leagueoflegends.com/en_US/champion/rakan/</x:v>
      </x:c>
    </x:row>
    <x:row r="150" ht="68" customHeight="1">
      <x:c r="A150" s="24" t="str">
        <x:v>ION_RAKAN_GREET</x:v>
      </x:c>
      <x:c r="B150" s="24" t="str">
        <x:v>rakan</x:v>
      </x:c>
      <x:c r="C150" s="24" t="str">
        <x:v>洛</x:v>
      </x:c>
      <x:c r="D150" s="24" t="str">
        <x:v>GREET</x:v>
      </x:c>
      <x:c r="E150" s="24" t="str">
        <x:v>友好问候</x:v>
      </x:c>
      <x:c r="F150" s="24" t="str">
        <x:v>关系值达到友好后进入对话</x:v>
      </x:c>
      <x:c r="G150" s="24" t="str">
        <x:v>玩家</x:v>
      </x:c>
      <x:c r="H150" s="24" t="str">
        <x:v>友善</x:v>
      </x:c>
      <x:c r="I150" s="24" t="str">
        <x:v>喜悦</x:v>
      </x:c>
      <x:c r="J150" s="24" t="n">
        <x:v>2</x:v>
      </x:c>
      <x:c r="K150" s="30" t="str">
        <x:v>你来了！我正缺一个懂得欣赏完美登场的人。</x:v>
      </x:c>
      <x:c r="L150" s="30" t="str">
        <x:v>保持跳跃、明亮、富有节奏；避免油腻和持续轻浮</x:v>
      </x:c>
      <x:c r="M150" s="30" t="n">
        <x:v>3</x:v>
      </x:c>
      <x:c r="N150" s="30" t="n">
        <x:v>10</x:v>
      </x:c>
      <x:c r="O150" s="30" t="str">
        <x:v>不限</x:v>
      </x:c>
      <x:c r="P150" s="30" t="str">
        <x:v>不限</x:v>
      </x:c>
      <x:c r="Q150" s="30" t="str">
        <x:v>否</x:v>
      </x:c>
      <x:c r="R150" s="30" t="n">
        <x:v>10</x:v>
      </x:c>
      <x:c r="S150" s="30" t="str">
        <x:v>peace</x:v>
      </x:c>
      <x:c r="T150" s="30" t="str">
        <x:v>guardian</x:v>
      </x:c>
      <x:c r="U150" s="30" t="n">
        <x:v>3</x:v>
      </x:c>
      <x:c r="V150" s="36" t="str">
        <x:f>A150&amp;".wav"</x:f>
        <x:v>ION_RAKAN_GREET.wav</x:v>
      </x:c>
      <x:c r="W150" s="36" t="str">
        <x:v>待审核</x:v>
      </x:c>
      <x:c r="X150" s="36" t="str"/>
      <x:c r="Y150" s="36" t="str">
        <x:v>https://universe.leagueoflegends.com/en_US/champion/rakan/</x:v>
      </x:c>
    </x:row>
    <x:row r="151" ht="68" customHeight="1">
      <x:c r="A151" s="24" t="str">
        <x:v>ION_RAKAN_WARN</x:v>
      </x:c>
      <x:c r="B151" s="24" t="str">
        <x:v>rakan</x:v>
      </x:c>
      <x:c r="C151" s="24" t="str">
        <x:v>洛</x:v>
      </x:c>
      <x:c r="D151" s="24" t="str">
        <x:v>WARN</x:v>
      </x:c>
      <x:c r="E151" s="24" t="str">
        <x:v>危险警告</x:v>
      </x:c>
      <x:c r="F151" s="24" t="str">
        <x:v>区域威胁或伏击即将发生</x:v>
      </x:c>
      <x:c r="G151" s="24" t="str">
        <x:v>玩家</x:v>
      </x:c>
      <x:c r="H151" s="24" t="str">
        <x:v>紧张</x:v>
      </x:c>
      <x:c r="I151" s="24" t="str">
        <x:v>警觉</x:v>
      </x:c>
      <x:c r="J151" s="24" t="n">
        <x:v>3</x:v>
      </x:c>
      <x:c r="K151" s="30" t="str">
        <x:v>音乐停了。霞说过，突然的安静通常意味着麻烦。</x:v>
      </x:c>
      <x:c r="L151" s="30" t="str">
        <x:v>保持跳跃、明亮、富有节奏；避免油腻和持续轻浮</x:v>
      </x:c>
      <x:c r="M151" s="30" t="n">
        <x:v>3</x:v>
      </x:c>
      <x:c r="N151" s="30" t="n">
        <x:v>0</x:v>
      </x:c>
      <x:c r="O151" s="30" t="str">
        <x:v>不限</x:v>
      </x:c>
      <x:c r="P151" s="30" t="str">
        <x:v>不限</x:v>
      </x:c>
      <x:c r="Q151" s="30" t="str">
        <x:v>否</x:v>
      </x:c>
      <x:c r="R151" s="30" t="n">
        <x:v>10</x:v>
      </x:c>
      <x:c r="S151" s="30" t="str">
        <x:v>destiny</x:v>
      </x:c>
      <x:c r="T151" s="30" t="str">
        <x:v>breaker</x:v>
      </x:c>
      <x:c r="U151" s="30" t="n">
        <x:v>3</x:v>
      </x:c>
      <x:c r="V151" s="36" t="str">
        <x:f>A151&amp;".wav"</x:f>
        <x:v>ION_RAKAN_WARN.wav</x:v>
      </x:c>
      <x:c r="W151" s="36" t="str">
        <x:v>待审核</x:v>
      </x:c>
      <x:c r="X151" s="36" t="str"/>
      <x:c r="Y151" s="36" t="str">
        <x:v>https://universe.leagueoflegends.com/en_US/champion/rakan/</x:v>
      </x:c>
    </x:row>
    <x:row r="152" ht="68" customHeight="1">
      <x:c r="A152" s="24" t="str">
        <x:v>ION_RAKAN_REFUSE</x:v>
      </x:c>
      <x:c r="B152" s="24" t="str">
        <x:v>rakan</x:v>
      </x:c>
      <x:c r="C152" s="24" t="str">
        <x:v>洛</x:v>
      </x:c>
      <x:c r="D152" s="24" t="str">
        <x:v>REFUSE</x:v>
      </x:c>
      <x:c r="E152" s="24" t="str">
        <x:v>拒绝请求</x:v>
      </x:c>
      <x:c r="F152" s="24" t="str">
        <x:v>玩家请求触碰角色底线</x:v>
      </x:c>
      <x:c r="G152" s="24" t="str">
        <x:v>玩家</x:v>
      </x:c>
      <x:c r="H152" s="24" t="str">
        <x:v>拒绝</x:v>
      </x:c>
      <x:c r="I152" s="24" t="str">
        <x:v>厌恶</x:v>
      </x:c>
      <x:c r="J152" s="24" t="n">
        <x:v>3</x:v>
      </x:c>
      <x:c r="K152" s="30" t="str">
        <x:v>这邀请一点节奏都没有，我宁愿去听石头打呼噜。</x:v>
      </x:c>
      <x:c r="L152" s="30" t="str">
        <x:v>保持跳跃、明亮、富有节奏；避免油腻和持续轻浮</x:v>
      </x:c>
      <x:c r="M152" s="30" t="n">
        <x:v>4</x:v>
      </x:c>
      <x:c r="N152" s="30" t="n">
        <x:v>-20</x:v>
      </x:c>
      <x:c r="O152" s="30" t="str">
        <x:v>不限</x:v>
      </x:c>
      <x:c r="P152" s="30" t="str">
        <x:v>不限</x:v>
      </x:c>
      <x:c r="Q152" s="30" t="str">
        <x:v>否</x:v>
      </x:c>
      <x:c r="R152" s="30" t="n">
        <x:v>10</x:v>
      </x:c>
      <x:c r="S152" s="30" t="str">
        <x:v>freedom</x:v>
      </x:c>
      <x:c r="T152" s="30" t="str">
        <x:v>wanderer</x:v>
      </x:c>
      <x:c r="U152" s="30" t="n">
        <x:v>3</x:v>
      </x:c>
      <x:c r="V152" s="36" t="str">
        <x:f>A152&amp;".wav"</x:f>
        <x:v>ION_RAKAN_REFUSE.wav</x:v>
      </x:c>
      <x:c r="W152" s="36" t="str">
        <x:v>待审核</x:v>
      </x:c>
      <x:c r="X152" s="36" t="str"/>
      <x:c r="Y152" s="36" t="str">
        <x:v>https://universe.leagueoflegends.com/en_US/champion/rakan/</x:v>
      </x:c>
    </x:row>
    <x:row r="153" ht="68" customHeight="1">
      <x:c r="A153" s="24" t="str">
        <x:v>ION_RAKAN_TRUST</x:v>
      </x:c>
      <x:c r="B153" s="24" t="str">
        <x:v>rakan</x:v>
      </x:c>
      <x:c r="C153" s="24" t="str">
        <x:v>洛</x:v>
      </x:c>
      <x:c r="D153" s="24" t="str">
        <x:v>TRUST</x:v>
      </x:c>
      <x:c r="E153" s="24" t="str">
        <x:v>建立信任</x:v>
      </x:c>
      <x:c r="F153" s="24" t="str">
        <x:v>玩家满足角色的信任条件</x:v>
      </x:c>
      <x:c r="G153" s="24" t="str">
        <x:v>玩家</x:v>
      </x:c>
      <x:c r="H153" s="24" t="str">
        <x:v>信任</x:v>
      </x:c>
      <x:c r="I153" s="24" t="str">
        <x:v>柔和</x:v>
      </x:c>
      <x:c r="J153" s="24" t="n">
        <x:v>3</x:v>
      </x:c>
      <x:c r="K153" s="30" t="str">
        <x:v>好吧，舞台分你一半。别踩到我的羽毛，也别踩到我的信任。</x:v>
      </x:c>
      <x:c r="L153" s="30" t="str">
        <x:v>保持跳跃、明亮、富有节奏；避免油腻和持续轻浮</x:v>
      </x:c>
      <x:c r="M153" s="30" t="n">
        <x:v>5</x:v>
      </x:c>
      <x:c r="N153" s="30" t="n">
        <x:v>40</x:v>
      </x:c>
      <x:c r="O153" s="30" t="str">
        <x:v>不限</x:v>
      </x:c>
      <x:c r="P153" s="30" t="str">
        <x:v>不限</x:v>
      </x:c>
      <x:c r="Q153" s="30" t="str">
        <x:v>是</x:v>
      </x:c>
      <x:c r="R153" s="30" t="n">
        <x:v>10</x:v>
      </x:c>
      <x:c r="S153" s="30" t="str">
        <x:v>peace</x:v>
      </x:c>
      <x:c r="T153" s="30" t="str">
        <x:v>guardian</x:v>
      </x:c>
      <x:c r="U153" s="30" t="n">
        <x:v>0</x:v>
      </x:c>
      <x:c r="V153" s="36" t="str">
        <x:f>A153&amp;".wav"</x:f>
        <x:v>ION_RAKAN_TRUST.wav</x:v>
      </x:c>
      <x:c r="W153" s="36" t="str">
        <x:v>待审核</x:v>
      </x:c>
      <x:c r="X153" s="36" t="str"/>
      <x:c r="Y153" s="36" t="str">
        <x:v>https://universe.leagueoflegends.com/en_US/champion/rakan/</x:v>
      </x:c>
    </x:row>
    <x:row r="154" ht="68" customHeight="1">
      <x:c r="A154" s="24" t="str">
        <x:v>ION_RAKAN_ANGER</x:v>
      </x:c>
      <x:c r="B154" s="24" t="str">
        <x:v>rakan</x:v>
      </x:c>
      <x:c r="C154" s="24" t="str">
        <x:v>洛</x:v>
      </x:c>
      <x:c r="D154" s="24" t="str">
        <x:v>ANGER</x:v>
      </x:c>
      <x:c r="E154" s="24" t="str">
        <x:v>被激怒</x:v>
      </x:c>
      <x:c r="F154" s="24" t="str">
        <x:v>玩家触发角色主要怒点</x:v>
      </x:c>
      <x:c r="G154" s="24" t="str">
        <x:v>玩家</x:v>
      </x:c>
      <x:c r="H154" s="24" t="str">
        <x:v>愤怒</x:v>
      </x:c>
      <x:c r="I154" s="24" t="str">
        <x:v>受伤</x:v>
      </x:c>
      <x:c r="J154" s="24" t="n">
        <x:v>4</x:v>
      </x:c>
      <x:c r="K154" s="30" t="str">
        <x:v>你伤了她。接下来这支舞，不会有轻快的部分。</x:v>
      </x:c>
      <x:c r="L154" s="30" t="str">
        <x:v>保持跳跃、明亮、富有节奏；避免油腻和持续轻浮</x:v>
      </x:c>
      <x:c r="M154" s="30" t="n">
        <x:v>4</x:v>
      </x:c>
      <x:c r="N154" s="30" t="n">
        <x:v>-20</x:v>
      </x:c>
      <x:c r="O154" s="30" t="str">
        <x:v>不限</x:v>
      </x:c>
      <x:c r="P154" s="30" t="str">
        <x:v>不限</x:v>
      </x:c>
      <x:c r="Q154" s="30" t="str">
        <x:v>否</x:v>
      </x:c>
      <x:c r="R154" s="30" t="n">
        <x:v>10</x:v>
      </x:c>
      <x:c r="S154" s="30" t="str">
        <x:v>power</x:v>
      </x:c>
      <x:c r="T154" s="30" t="str">
        <x:v>strong</x:v>
      </x:c>
      <x:c r="U154" s="30" t="n">
        <x:v>3</x:v>
      </x:c>
      <x:c r="V154" s="36" t="str">
        <x:f>A154&amp;".wav"</x:f>
        <x:v>ION_RAKAN_ANGER.wav</x:v>
      </x:c>
      <x:c r="W154" s="36" t="str">
        <x:v>待审核</x:v>
      </x:c>
      <x:c r="X154" s="36" t="str"/>
      <x:c r="Y154" s="36" t="str">
        <x:v>https://universe.leagueoflegends.com/en_US/champion/rakan/</x:v>
      </x:c>
    </x:row>
    <x:row r="155" ht="68" customHeight="1">
      <x:c r="A155" s="24" t="str">
        <x:v>ION_RAKAN_HURT</x:v>
      </x:c>
      <x:c r="B155" s="24" t="str">
        <x:v>rakan</x:v>
      </x:c>
      <x:c r="C155" s="24" t="str">
        <x:v>洛</x:v>
      </x:c>
      <x:c r="D155" s="24" t="str">
        <x:v>HURT</x:v>
      </x:c>
      <x:c r="E155" s="24" t="str">
        <x:v>受伤反馈</x:v>
      </x:c>
      <x:c r="F155" s="24" t="str">
        <x:v>角色受到重击但仍可行动</x:v>
      </x:c>
      <x:c r="G155" s="24" t="str">
        <x:v>玩家</x:v>
      </x:c>
      <x:c r="H155" s="24" t="str">
        <x:v>痛苦</x:v>
      </x:c>
      <x:c r="I155" s="24" t="str">
        <x:v>坚持</x:v>
      </x:c>
      <x:c r="J155" s="24" t="n">
        <x:v>4</x:v>
      </x:c>
      <x:c r="K155" s="30" t="str">
        <x:v>漂亮的衣服总要付点代价——别告诉霞。</x:v>
      </x:c>
      <x:c r="L155" s="30" t="str">
        <x:v>保持跳跃、明亮、富有节奏；避免油腻和持续轻浮</x:v>
      </x:c>
      <x:c r="M155" s="30" t="n">
        <x:v>2</x:v>
      </x:c>
      <x:c r="N155" s="30" t="n">
        <x:v>0</x:v>
      </x:c>
      <x:c r="O155" s="30" t="str">
        <x:v>不限</x:v>
      </x:c>
      <x:c r="P155" s="30" t="str">
        <x:v>不限</x:v>
      </x:c>
      <x:c r="Q155" s="30" t="str">
        <x:v>否</x:v>
      </x:c>
      <x:c r="R155" s="30" t="n">
        <x:v>10</x:v>
      </x:c>
      <x:c r="S155" s="30" t="str">
        <x:v>peace</x:v>
      </x:c>
      <x:c r="T155" s="30" t="str">
        <x:v>guardian</x:v>
      </x:c>
      <x:c r="U155" s="30" t="n">
        <x:v>3</x:v>
      </x:c>
      <x:c r="V155" s="36" t="str">
        <x:f>A155&amp;".wav"</x:f>
        <x:v>ION_RAKAN_HURT.wav</x:v>
      </x:c>
      <x:c r="W155" s="36" t="str">
        <x:v>待审核</x:v>
      </x:c>
      <x:c r="X155" s="36" t="str"/>
      <x:c r="Y155" s="36" t="str">
        <x:v>https://universe.leagueoflegends.com/en_US/champion/rakan/</x:v>
      </x:c>
    </x:row>
    <x:row r="156" ht="68" customHeight="1">
      <x:c r="A156" s="24" t="str">
        <x:v>ION_RAKAN_COMBAT</x:v>
      </x:c>
      <x:c r="B156" s="24" t="str">
        <x:v>rakan</x:v>
      </x:c>
      <x:c r="C156" s="24" t="str">
        <x:v>洛</x:v>
      </x:c>
      <x:c r="D156" s="24" t="str">
        <x:v>COMBAT</x:v>
      </x:c>
      <x:c r="E156" s="24" t="str">
        <x:v>战斗行动</x:v>
      </x:c>
      <x:c r="F156" s="24" t="str">
        <x:v>角色发动标志性行动</x:v>
      </x:c>
      <x:c r="G156" s="24" t="str">
        <x:v>玩家</x:v>
      </x:c>
      <x:c r="H156" s="24" t="str">
        <x:v>战意</x:v>
      </x:c>
      <x:c r="I156" s="24" t="str">
        <x:v>专注</x:v>
      </x:c>
      <x:c r="J156" s="24" t="n">
        <x:v>4</x:v>
      </x:c>
      <x:c r="K156" s="30" t="str">
        <x:v>跟着我转身！敌人会发现自己一直在追错误的方向。</x:v>
      </x:c>
      <x:c r="L156" s="30" t="str">
        <x:v>保持跳跃、明亮、富有节奏；避免油腻和持续轻浮</x:v>
      </x:c>
      <x:c r="M156" s="30" t="n">
        <x:v>2</x:v>
      </x:c>
      <x:c r="N156" s="30" t="n">
        <x:v>0</x:v>
      </x:c>
      <x:c r="O156" s="30" t="str">
        <x:v>不限</x:v>
      </x:c>
      <x:c r="P156" s="30" t="str">
        <x:v>不限</x:v>
      </x:c>
      <x:c r="Q156" s="30" t="str">
        <x:v>否</x:v>
      </x:c>
      <x:c r="R156" s="30" t="n">
        <x:v>10</x:v>
      </x:c>
      <x:c r="S156" s="30" t="str">
        <x:v>power</x:v>
      </x:c>
      <x:c r="T156" s="30" t="str">
        <x:v>strong</x:v>
      </x:c>
      <x:c r="U156" s="30" t="n">
        <x:v>3</x:v>
      </x:c>
      <x:c r="V156" s="36" t="str">
        <x:f>A156&amp;".wav"</x:f>
        <x:v>ION_RAKAN_COMBAT.wav</x:v>
      </x:c>
      <x:c r="W156" s="36" t="str">
        <x:v>待审核</x:v>
      </x:c>
      <x:c r="X156" s="36" t="str"/>
      <x:c r="Y156" s="36" t="str">
        <x:v>https://universe.leagueoflegends.com/en_US/champion/rakan/</x:v>
      </x:c>
    </x:row>
    <x:row r="157" ht="68" customHeight="1">
      <x:c r="A157" s="24" t="str">
        <x:v>ION_RAKAN_VICTORY</x:v>
      </x:c>
      <x:c r="B157" s="24" t="str">
        <x:v>rakan</x:v>
      </x:c>
      <x:c r="C157" s="24" t="str">
        <x:v>洛</x:v>
      </x:c>
      <x:c r="D157" s="24" t="str">
        <x:v>VICTORY</x:v>
      </x:c>
      <x:c r="E157" s="24" t="str">
        <x:v>战斗胜利</x:v>
      </x:c>
      <x:c r="F157" s="24" t="str">
        <x:v>威胁解除并进入结算</x:v>
      </x:c>
      <x:c r="G157" s="24" t="str">
        <x:v>玩家</x:v>
      </x:c>
      <x:c r="H157" s="24" t="str">
        <x:v>释然</x:v>
      </x:c>
      <x:c r="I157" s="24" t="str">
        <x:v>克制喜悦</x:v>
      </x:c>
      <x:c r="J157" s="24" t="n">
        <x:v>3</x:v>
      </x:c>
      <x:c r="K157" s="30" t="str">
        <x:v>看见了吗？连胜利都忍不住跟着我们的节拍。</x:v>
      </x:c>
      <x:c r="L157" s="30" t="str">
        <x:v>保持跳跃、明亮、富有节奏；避免油腻和持续轻浮</x:v>
      </x:c>
      <x:c r="M157" s="30" t="n">
        <x:v>4</x:v>
      </x:c>
      <x:c r="N157" s="30" t="n">
        <x:v>0</x:v>
      </x:c>
      <x:c r="O157" s="30" t="str">
        <x:v>不限</x:v>
      </x:c>
      <x:c r="P157" s="30" t="str">
        <x:v>不限</x:v>
      </x:c>
      <x:c r="Q157" s="30" t="str">
        <x:v>否</x:v>
      </x:c>
      <x:c r="R157" s="30" t="n">
        <x:v>10</x:v>
      </x:c>
      <x:c r="S157" s="30" t="str">
        <x:v>destiny</x:v>
      </x:c>
      <x:c r="T157" s="30" t="str">
        <x:v>breaker</x:v>
      </x:c>
      <x:c r="U157" s="30" t="n">
        <x:v>3</x:v>
      </x:c>
      <x:c r="V157" s="36" t="str">
        <x:f>A157&amp;".wav"</x:f>
        <x:v>ION_RAKAN_VICTORY.wav</x:v>
      </x:c>
      <x:c r="W157" s="36" t="str">
        <x:v>待审核</x:v>
      </x:c>
      <x:c r="X157" s="36" t="str"/>
      <x:c r="Y157" s="36" t="str">
        <x:v>https://universe.leagueoflegends.com/en_US/champion/rakan/</x:v>
      </x:c>
    </x:row>
    <x:row r="158" ht="68" customHeight="1">
      <x:c r="A158" s="24" t="str">
        <x:v>ION_RAKAN_DEFEAT</x:v>
      </x:c>
      <x:c r="B158" s="24" t="str">
        <x:v>rakan</x:v>
      </x:c>
      <x:c r="C158" s="24" t="str">
        <x:v>洛</x:v>
      </x:c>
      <x:c r="D158" s="24" t="str">
        <x:v>DEFEAT</x:v>
      </x:c>
      <x:c r="E158" s="24" t="str">
        <x:v>失败撤退</x:v>
      </x:c>
      <x:c r="F158" s="24" t="str">
        <x:v>角色被迫撤离或计划失败</x:v>
      </x:c>
      <x:c r="G158" s="24" t="str">
        <x:v>玩家</x:v>
      </x:c>
      <x:c r="H158" s="24" t="str">
        <x:v>挫败</x:v>
      </x:c>
      <x:c r="I158" s="24" t="str">
        <x:v>反思</x:v>
      </x:c>
      <x:c r="J158" s="24" t="n">
        <x:v>4</x:v>
      </x:c>
      <x:c r="K158" s="30" t="str">
        <x:v>这段舞跳坏了。先离场，活着才有返场。</x:v>
      </x:c>
      <x:c r="L158" s="30" t="str">
        <x:v>保持跳跃、明亮、富有节奏；避免油腻和持续轻浮</x:v>
      </x:c>
      <x:c r="M158" s="30" t="n">
        <x:v>5</x:v>
      </x:c>
      <x:c r="N158" s="30" t="n">
        <x:v>0</x:v>
      </x:c>
      <x:c r="O158" s="30" t="str">
        <x:v>不限</x:v>
      </x:c>
      <x:c r="P158" s="30" t="str">
        <x:v>不限</x:v>
      </x:c>
      <x:c r="Q158" s="30" t="str">
        <x:v>否</x:v>
      </x:c>
      <x:c r="R158" s="30" t="n">
        <x:v>10</x:v>
      </x:c>
      <x:c r="S158" s="30" t="str">
        <x:v>spirit</x:v>
      </x:c>
      <x:c r="T158" s="30" t="str">
        <x:v>spirit_fate</x:v>
      </x:c>
      <x:c r="U158" s="30" t="n">
        <x:v>3</x:v>
      </x:c>
      <x:c r="V158" s="36" t="str">
        <x:f>A158&amp;".wav"</x:f>
        <x:v>ION_RAKAN_DEFEAT.wav</x:v>
      </x:c>
      <x:c r="W158" s="36" t="str">
        <x:v>待审核</x:v>
      </x:c>
      <x:c r="X158" s="36" t="str"/>
      <x:c r="Y158" s="36" t="str">
        <x:v>https://universe.leagueoflegends.com/en_US/champion/rakan/</x:v>
      </x:c>
    </x:row>
    <x:row r="159" ht="68" customHeight="1">
      <x:c r="A159" s="24" t="str">
        <x:v>ION_RAKAN_LORE</x:v>
      </x:c>
      <x:c r="B159" s="24" t="str">
        <x:v>rakan</x:v>
      </x:c>
      <x:c r="C159" s="24" t="str">
        <x:v>洛</x:v>
      </x:c>
      <x:c r="D159" s="24" t="str">
        <x:v>LORE</x:v>
      </x:c>
      <x:c r="E159" s="24" t="str">
        <x:v>世界观讲述</x:v>
      </x:c>
      <x:c r="F159" s="24" t="str">
        <x:v>玩家询问人物、地点或往事</x:v>
      </x:c>
      <x:c r="G159" s="24" t="str">
        <x:v>玩家</x:v>
      </x:c>
      <x:c r="H159" s="24" t="str">
        <x:v>叙述</x:v>
      </x:c>
      <x:c r="I159" s="24" t="str">
        <x:v>怀念</x:v>
      </x:c>
      <x:c r="J159" s="24" t="n">
        <x:v>2</x:v>
      </x:c>
      <x:c r="K159" s="30" t="str">
        <x:v>人类总问瓦斯塔亚为何要自由，好像呼吸也需要先写一份理由。</x:v>
      </x:c>
      <x:c r="L159" s="30" t="str">
        <x:v>保持跳跃、明亮、富有节奏；避免油腻和持续轻浮</x:v>
      </x:c>
      <x:c r="M159" s="30" t="n">
        <x:v>8</x:v>
      </x:c>
      <x:c r="N159" s="30" t="n">
        <x:v>0</x:v>
      </x:c>
      <x:c r="O159" s="30" t="str">
        <x:v>不限</x:v>
      </x:c>
      <x:c r="P159" s="30" t="str">
        <x:v>不限</x:v>
      </x:c>
      <x:c r="Q159" s="30" t="str">
        <x:v>是</x:v>
      </x:c>
      <x:c r="R159" s="30" t="n">
        <x:v>10</x:v>
      </x:c>
      <x:c r="S159" s="30" t="str">
        <x:v>spirit</x:v>
      </x:c>
      <x:c r="T159" s="30" t="str">
        <x:v>spirit_fate</x:v>
      </x:c>
      <x:c r="U159" s="30" t="n">
        <x:v>0</x:v>
      </x:c>
      <x:c r="V159" s="36" t="str">
        <x:f>A159&amp;".wav"</x:f>
        <x:v>ION_RAKAN_LORE.wav</x:v>
      </x:c>
      <x:c r="W159" s="36" t="str">
        <x:v>待审核</x:v>
      </x:c>
      <x:c r="X159" s="36" t="str"/>
      <x:c r="Y159" s="36" t="str">
        <x:v>https://universe.leagueoflegends.com/en_US/champion/rakan/</x:v>
      </x:c>
    </x:row>
    <x:row r="160" ht="68" customHeight="1">
      <x:c r="A160" s="24" t="str">
        <x:v>ION_RAKAN_FAREWELL</x:v>
      </x:c>
      <x:c r="B160" s="24" t="str">
        <x:v>rakan</x:v>
      </x:c>
      <x:c r="C160" s="24" t="str">
        <x:v>洛</x:v>
      </x:c>
      <x:c r="D160" s="24" t="str">
        <x:v>FAREWELL</x:v>
      </x:c>
      <x:c r="E160" s="24" t="str">
        <x:v>阶段告别</x:v>
      </x:c>
      <x:c r="F160" s="24" t="str">
        <x:v>事件结束或角色离开队伍</x:v>
      </x:c>
      <x:c r="G160" s="24" t="str">
        <x:v>玩家</x:v>
      </x:c>
      <x:c r="H160" s="24" t="str">
        <x:v>告别</x:v>
      </x:c>
      <x:c r="I160" s="24" t="str">
        <x:v>复杂</x:v>
      </x:c>
      <x:c r="J160" s="24" t="n">
        <x:v>3</x:v>
      </x:c>
      <x:c r="K160" s="30" t="str">
        <x:v>我要去找霞。下次见面，记得准备一个更漂亮的开场。</x:v>
      </x:c>
      <x:c r="L160" s="30" t="str">
        <x:v>保持跳跃、明亮、富有节奏；避免油腻和持续轻浮</x:v>
      </x:c>
      <x:c r="M160" s="30" t="n">
        <x:v>5</x:v>
      </x:c>
      <x:c r="N160" s="30" t="n">
        <x:v>0</x:v>
      </x:c>
      <x:c r="O160" s="30" t="str">
        <x:v>不限</x:v>
      </x:c>
      <x:c r="P160" s="30" t="str">
        <x:v>不限</x:v>
      </x:c>
      <x:c r="Q160" s="30" t="str">
        <x:v>否</x:v>
      </x:c>
      <x:c r="R160" s="30" t="n">
        <x:v>10</x:v>
      </x:c>
      <x:c r="S160" s="30" t="str">
        <x:v>freedom</x:v>
      </x:c>
      <x:c r="T160" s="30" t="str">
        <x:v>wanderer</x:v>
      </x:c>
      <x:c r="U160" s="30" t="n">
        <x:v>3</x:v>
      </x:c>
      <x:c r="V160" s="36" t="str">
        <x:f>A160&amp;".wav"</x:f>
        <x:v>ION_RAKAN_FAREWELL.wav</x:v>
      </x:c>
      <x:c r="W160" s="36" t="str">
        <x:v>待审核</x:v>
      </x:c>
      <x:c r="X160" s="36" t="str"/>
      <x:c r="Y160" s="36" t="str">
        <x:v>https://universe.leagueoflegends.com/en_US/champion/rakan/</x:v>
      </x:c>
    </x:row>
    <x:row r="161" ht="68" customHeight="1">
      <x:c r="A161" s="24" t="str">
        <x:v>ION_SETT_MEET</x:v>
      </x:c>
      <x:c r="B161" s="24" t="str">
        <x:v>sett</x:v>
      </x:c>
      <x:c r="C161" s="24" t="str">
        <x:v>瑟提</x:v>
      </x:c>
      <x:c r="D161" s="24" t="str">
        <x:v>MEET</x:v>
      </x:c>
      <x:c r="E161" s="24" t="str">
        <x:v>初次相遇</x:v>
      </x:c>
      <x:c r="F161" s="24" t="str">
        <x:v>玩家第一次接近角色</x:v>
      </x:c>
      <x:c r="G161" s="24" t="str">
        <x:v>玩家</x:v>
      </x:c>
      <x:c r="H161" s="24" t="str">
        <x:v>审视</x:v>
      </x:c>
      <x:c r="I161" s="24" t="str">
        <x:v>中性</x:v>
      </x:c>
      <x:c r="J161" s="24" t="n">
        <x:v>2</x:v>
      </x:c>
      <x:c r="K161" s="30" t="str">
        <x:v>想谈事就坐，想找事就站着。我两种都接。</x:v>
      </x:c>
      <x:c r="L161" s="30" t="str">
        <x:v>保持直接、街头化、带交易和威胁；避免无脑吼叫或模仿职业摔角腔</x:v>
      </x:c>
      <x:c r="M161" s="30" t="n">
        <x:v>4</x:v>
      </x:c>
      <x:c r="N161" s="30" t="n">
        <x:v>0</x:v>
      </x:c>
      <x:c r="O161" s="30" t="str">
        <x:v>不限</x:v>
      </x:c>
      <x:c r="P161" s="30" t="str">
        <x:v>不限</x:v>
      </x:c>
      <x:c r="Q161" s="30" t="str">
        <x:v>是</x:v>
      </x:c>
      <x:c r="R161" s="30" t="n">
        <x:v>10</x:v>
      </x:c>
      <x:c r="S161" s="30" t="str">
        <x:v>destiny</x:v>
      </x:c>
      <x:c r="T161" s="30" t="str">
        <x:v>breaker</x:v>
      </x:c>
      <x:c r="U161" s="30" t="n">
        <x:v>0</x:v>
      </x:c>
      <x:c r="V161" s="36" t="str">
        <x:f>A161&amp;".wav"</x:f>
        <x:v>ION_SETT_MEET.wav</x:v>
      </x:c>
      <x:c r="W161" s="36" t="str">
        <x:v>待审核</x:v>
      </x:c>
      <x:c r="X161" s="36" t="str"/>
      <x:c r="Y161" s="36" t="str">
        <x:v>https://universe.leagueoflegends.com/en_US/champion/sett/</x:v>
      </x:c>
    </x:row>
    <x:row r="162" ht="68" customHeight="1">
      <x:c r="A162" s="24" t="str">
        <x:v>ION_SETT_GREET</x:v>
      </x:c>
      <x:c r="B162" s="24" t="str">
        <x:v>sett</x:v>
      </x:c>
      <x:c r="C162" s="24" t="str">
        <x:v>瑟提</x:v>
      </x:c>
      <x:c r="D162" s="24" t="str">
        <x:v>GREET</x:v>
      </x:c>
      <x:c r="E162" s="24" t="str">
        <x:v>友好问候</x:v>
      </x:c>
      <x:c r="F162" s="24" t="str">
        <x:v>关系值达到友好后进入对话</x:v>
      </x:c>
      <x:c r="G162" s="24" t="str">
        <x:v>玩家</x:v>
      </x:c>
      <x:c r="H162" s="24" t="str">
        <x:v>友善</x:v>
      </x:c>
      <x:c r="I162" s="24" t="str">
        <x:v>喜悦</x:v>
      </x:c>
      <x:c r="J162" s="24" t="n">
        <x:v>2</x:v>
      </x:c>
      <x:c r="K162" s="30" t="str">
        <x:v>你还真来了。看来上次没把你吓跑，也没把你教聪明。</x:v>
      </x:c>
      <x:c r="L162" s="30" t="str">
        <x:v>保持直接、街头化、带交易和威胁；避免无脑吼叫或模仿职业摔角腔</x:v>
      </x:c>
      <x:c r="M162" s="30" t="n">
        <x:v>3</x:v>
      </x:c>
      <x:c r="N162" s="30" t="n">
        <x:v>10</x:v>
      </x:c>
      <x:c r="O162" s="30" t="str">
        <x:v>不限</x:v>
      </x:c>
      <x:c r="P162" s="30" t="str">
        <x:v>不限</x:v>
      </x:c>
      <x:c r="Q162" s="30" t="str">
        <x:v>否</x:v>
      </x:c>
      <x:c r="R162" s="30" t="n">
        <x:v>10</x:v>
      </x:c>
      <x:c r="S162" s="30" t="str">
        <x:v>peace</x:v>
      </x:c>
      <x:c r="T162" s="30" t="str">
        <x:v>guardian</x:v>
      </x:c>
      <x:c r="U162" s="30" t="n">
        <x:v>3</x:v>
      </x:c>
      <x:c r="V162" s="36" t="str">
        <x:f>A162&amp;".wav"</x:f>
        <x:v>ION_SETT_GREET.wav</x:v>
      </x:c>
      <x:c r="W162" s="36" t="str">
        <x:v>待审核</x:v>
      </x:c>
      <x:c r="X162" s="36" t="str"/>
      <x:c r="Y162" s="36" t="str">
        <x:v>https://universe.leagueoflegends.com/en_US/champion/sett/</x:v>
      </x:c>
    </x:row>
    <x:row r="163" ht="68" customHeight="1">
      <x:c r="A163" s="24" t="str">
        <x:v>ION_SETT_WARN</x:v>
      </x:c>
      <x:c r="B163" s="24" t="str">
        <x:v>sett</x:v>
      </x:c>
      <x:c r="C163" s="24" t="str">
        <x:v>瑟提</x:v>
      </x:c>
      <x:c r="D163" s="24" t="str">
        <x:v>WARN</x:v>
      </x:c>
      <x:c r="E163" s="24" t="str">
        <x:v>危险警告</x:v>
      </x:c>
      <x:c r="F163" s="24" t="str">
        <x:v>区域威胁或伏击即将发生</x:v>
      </x:c>
      <x:c r="G163" s="24" t="str">
        <x:v>玩家</x:v>
      </x:c>
      <x:c r="H163" s="24" t="str">
        <x:v>紧张</x:v>
      </x:c>
      <x:c r="I163" s="24" t="str">
        <x:v>警觉</x:v>
      </x:c>
      <x:c r="J163" s="24" t="n">
        <x:v>3</x:v>
      </x:c>
      <x:c r="K163" s="30" t="str">
        <x:v>后门太安静。有人以为我不知道自己的场子有几扇门。</x:v>
      </x:c>
      <x:c r="L163" s="30" t="str">
        <x:v>保持直接、街头化、带交易和威胁；避免无脑吼叫或模仿职业摔角腔</x:v>
      </x:c>
      <x:c r="M163" s="30" t="n">
        <x:v>3</x:v>
      </x:c>
      <x:c r="N163" s="30" t="n">
        <x:v>0</x:v>
      </x:c>
      <x:c r="O163" s="30" t="str">
        <x:v>不限</x:v>
      </x:c>
      <x:c r="P163" s="30" t="str">
        <x:v>不限</x:v>
      </x:c>
      <x:c r="Q163" s="30" t="str">
        <x:v>否</x:v>
      </x:c>
      <x:c r="R163" s="30" t="n">
        <x:v>10</x:v>
      </x:c>
      <x:c r="S163" s="30" t="str">
        <x:v>destiny</x:v>
      </x:c>
      <x:c r="T163" s="30" t="str">
        <x:v>breaker</x:v>
      </x:c>
      <x:c r="U163" s="30" t="n">
        <x:v>3</x:v>
      </x:c>
      <x:c r="V163" s="36" t="str">
        <x:f>A163&amp;".wav"</x:f>
        <x:v>ION_SETT_WARN.wav</x:v>
      </x:c>
      <x:c r="W163" s="36" t="str">
        <x:v>待审核</x:v>
      </x:c>
      <x:c r="X163" s="36" t="str"/>
      <x:c r="Y163" s="36" t="str">
        <x:v>https://universe.leagueoflegends.com/en_US/champion/sett/</x:v>
      </x:c>
    </x:row>
    <x:row r="164" ht="68" customHeight="1">
      <x:c r="A164" s="24" t="str">
        <x:v>ION_SETT_REFUSE</x:v>
      </x:c>
      <x:c r="B164" s="24" t="str">
        <x:v>sett</x:v>
      </x:c>
      <x:c r="C164" s="24" t="str">
        <x:v>瑟提</x:v>
      </x:c>
      <x:c r="D164" s="24" t="str">
        <x:v>REFUSE</x:v>
      </x:c>
      <x:c r="E164" s="24" t="str">
        <x:v>拒绝请求</x:v>
      </x:c>
      <x:c r="F164" s="24" t="str">
        <x:v>玩家请求触碰角色底线</x:v>
      </x:c>
      <x:c r="G164" s="24" t="str">
        <x:v>玩家</x:v>
      </x:c>
      <x:c r="H164" s="24" t="str">
        <x:v>拒绝</x:v>
      </x:c>
      <x:c r="I164" s="24" t="str">
        <x:v>厌恶</x:v>
      </x:c>
      <x:c r="J164" s="24" t="n">
        <x:v>3</x:v>
      </x:c>
      <x:c r="K164" s="30" t="str">
        <x:v>这买卖不划算。你要是听不懂，我可以用拳头重新报价。</x:v>
      </x:c>
      <x:c r="L164" s="30" t="str">
        <x:v>保持直接、街头化、带交易和威胁；避免无脑吼叫或模仿职业摔角腔</x:v>
      </x:c>
      <x:c r="M164" s="30" t="n">
        <x:v>4</x:v>
      </x:c>
      <x:c r="N164" s="30" t="n">
        <x:v>-20</x:v>
      </x:c>
      <x:c r="O164" s="30" t="str">
        <x:v>不限</x:v>
      </x:c>
      <x:c r="P164" s="30" t="str">
        <x:v>不限</x:v>
      </x:c>
      <x:c r="Q164" s="30" t="str">
        <x:v>否</x:v>
      </x:c>
      <x:c r="R164" s="30" t="n">
        <x:v>10</x:v>
      </x:c>
      <x:c r="S164" s="30" t="str">
        <x:v>freedom</x:v>
      </x:c>
      <x:c r="T164" s="30" t="str">
        <x:v>wanderer</x:v>
      </x:c>
      <x:c r="U164" s="30" t="n">
        <x:v>3</x:v>
      </x:c>
      <x:c r="V164" s="36" t="str">
        <x:f>A164&amp;".wav"</x:f>
        <x:v>ION_SETT_REFUSE.wav</x:v>
      </x:c>
      <x:c r="W164" s="36" t="str">
        <x:v>待审核</x:v>
      </x:c>
      <x:c r="X164" s="36" t="str"/>
      <x:c r="Y164" s="36" t="str">
        <x:v>https://universe.leagueoflegends.com/en_US/champion/sett/</x:v>
      </x:c>
    </x:row>
    <x:row r="165" ht="68" customHeight="1">
      <x:c r="A165" s="24" t="str">
        <x:v>ION_SETT_TRUST</x:v>
      </x:c>
      <x:c r="B165" s="24" t="str">
        <x:v>sett</x:v>
      </x:c>
      <x:c r="C165" s="24" t="str">
        <x:v>瑟提</x:v>
      </x:c>
      <x:c r="D165" s="24" t="str">
        <x:v>TRUST</x:v>
      </x:c>
      <x:c r="E165" s="24" t="str">
        <x:v>建立信任</x:v>
      </x:c>
      <x:c r="F165" s="24" t="str">
        <x:v>玩家满足角色的信任条件</x:v>
      </x:c>
      <x:c r="G165" s="24" t="str">
        <x:v>玩家</x:v>
      </x:c>
      <x:c r="H165" s="24" t="str">
        <x:v>信任</x:v>
      </x:c>
      <x:c r="I165" s="24" t="str">
        <x:v>柔和</x:v>
      </x:c>
      <x:c r="J165" s="24" t="n">
        <x:v>3</x:v>
      </x:c>
      <x:c r="K165" s="30" t="str">
        <x:v>我把这一边交给你。搞砸了，医药费自己出。</x:v>
      </x:c>
      <x:c r="L165" s="30" t="str">
        <x:v>保持直接、街头化、带交易和威胁；避免无脑吼叫或模仿职业摔角腔</x:v>
      </x:c>
      <x:c r="M165" s="30" t="n">
        <x:v>5</x:v>
      </x:c>
      <x:c r="N165" s="30" t="n">
        <x:v>40</x:v>
      </x:c>
      <x:c r="O165" s="30" t="str">
        <x:v>不限</x:v>
      </x:c>
      <x:c r="P165" s="30" t="str">
        <x:v>不限</x:v>
      </x:c>
      <x:c r="Q165" s="30" t="str">
        <x:v>是</x:v>
      </x:c>
      <x:c r="R165" s="30" t="n">
        <x:v>10</x:v>
      </x:c>
      <x:c r="S165" s="30" t="str">
        <x:v>peace</x:v>
      </x:c>
      <x:c r="T165" s="30" t="str">
        <x:v>guardian</x:v>
      </x:c>
      <x:c r="U165" s="30" t="n">
        <x:v>0</x:v>
      </x:c>
      <x:c r="V165" s="36" t="str">
        <x:f>A165&amp;".wav"</x:f>
        <x:v>ION_SETT_TRUST.wav</x:v>
      </x:c>
      <x:c r="W165" s="36" t="str">
        <x:v>待审核</x:v>
      </x:c>
      <x:c r="X165" s="36" t="str"/>
      <x:c r="Y165" s="36" t="str">
        <x:v>https://universe.leagueoflegends.com/en_US/champion/sett/</x:v>
      </x:c>
    </x:row>
    <x:row r="166" ht="68" customHeight="1">
      <x:c r="A166" s="24" t="str">
        <x:v>ION_SETT_ANGER</x:v>
      </x:c>
      <x:c r="B166" s="24" t="str">
        <x:v>sett</x:v>
      </x:c>
      <x:c r="C166" s="24" t="str">
        <x:v>瑟提</x:v>
      </x:c>
      <x:c r="D166" s="24" t="str">
        <x:v>ANGER</x:v>
      </x:c>
      <x:c r="E166" s="24" t="str">
        <x:v>被激怒</x:v>
      </x:c>
      <x:c r="F166" s="24" t="str">
        <x:v>玩家触发角色主要怒点</x:v>
      </x:c>
      <x:c r="G166" s="24" t="str">
        <x:v>玩家</x:v>
      </x:c>
      <x:c r="H166" s="24" t="str">
        <x:v>愤怒</x:v>
      </x:c>
      <x:c r="I166" s="24" t="str">
        <x:v>受伤</x:v>
      </x:c>
      <x:c r="J166" s="24" t="n">
        <x:v>4</x:v>
      </x:c>
      <x:c r="K166" s="30" t="str">
        <x:v>敢拿我妈开口，你最好已经写好遗言。</x:v>
      </x:c>
      <x:c r="L166" s="30" t="str">
        <x:v>保持直接、街头化、带交易和威胁；避免无脑吼叫或模仿职业摔角腔</x:v>
      </x:c>
      <x:c r="M166" s="30" t="n">
        <x:v>4</x:v>
      </x:c>
      <x:c r="N166" s="30" t="n">
        <x:v>-20</x:v>
      </x:c>
      <x:c r="O166" s="30" t="str">
        <x:v>不限</x:v>
      </x:c>
      <x:c r="P166" s="30" t="str">
        <x:v>不限</x:v>
      </x:c>
      <x:c r="Q166" s="30" t="str">
        <x:v>否</x:v>
      </x:c>
      <x:c r="R166" s="30" t="n">
        <x:v>10</x:v>
      </x:c>
      <x:c r="S166" s="30" t="str">
        <x:v>power</x:v>
      </x:c>
      <x:c r="T166" s="30" t="str">
        <x:v>strong</x:v>
      </x:c>
      <x:c r="U166" s="30" t="n">
        <x:v>3</x:v>
      </x:c>
      <x:c r="V166" s="36" t="str">
        <x:f>A166&amp;".wav"</x:f>
        <x:v>ION_SETT_ANGER.wav</x:v>
      </x:c>
      <x:c r="W166" s="36" t="str">
        <x:v>待审核</x:v>
      </x:c>
      <x:c r="X166" s="36" t="str"/>
      <x:c r="Y166" s="36" t="str">
        <x:v>https://universe.leagueoflegends.com/en_US/champion/sett/</x:v>
      </x:c>
    </x:row>
    <x:row r="167" ht="68" customHeight="1">
      <x:c r="A167" s="24" t="str">
        <x:v>ION_SETT_HURT</x:v>
      </x:c>
      <x:c r="B167" s="24" t="str">
        <x:v>sett</x:v>
      </x:c>
      <x:c r="C167" s="24" t="str">
        <x:v>瑟提</x:v>
      </x:c>
      <x:c r="D167" s="24" t="str">
        <x:v>HURT</x:v>
      </x:c>
      <x:c r="E167" s="24" t="str">
        <x:v>受伤反馈</x:v>
      </x:c>
      <x:c r="F167" s="24" t="str">
        <x:v>角色受到重击但仍可行动</x:v>
      </x:c>
      <x:c r="G167" s="24" t="str">
        <x:v>玩家</x:v>
      </x:c>
      <x:c r="H167" s="24" t="str">
        <x:v>痛苦</x:v>
      </x:c>
      <x:c r="I167" s="24" t="str">
        <x:v>坚持</x:v>
      </x:c>
      <x:c r="J167" s="24" t="n">
        <x:v>4</x:v>
      </x:c>
      <x:c r="K167" s="30" t="str">
        <x:v>这点血算门票。真正的节目才刚开始。</x:v>
      </x:c>
      <x:c r="L167" s="30" t="str">
        <x:v>保持直接、街头化、带交易和威胁；避免无脑吼叫或模仿职业摔角腔</x:v>
      </x:c>
      <x:c r="M167" s="30" t="n">
        <x:v>2</x:v>
      </x:c>
      <x:c r="N167" s="30" t="n">
        <x:v>0</x:v>
      </x:c>
      <x:c r="O167" s="30" t="str">
        <x:v>不限</x:v>
      </x:c>
      <x:c r="P167" s="30" t="str">
        <x:v>不限</x:v>
      </x:c>
      <x:c r="Q167" s="30" t="str">
        <x:v>否</x:v>
      </x:c>
      <x:c r="R167" s="30" t="n">
        <x:v>10</x:v>
      </x:c>
      <x:c r="S167" s="30" t="str">
        <x:v>peace</x:v>
      </x:c>
      <x:c r="T167" s="30" t="str">
        <x:v>guardian</x:v>
      </x:c>
      <x:c r="U167" s="30" t="n">
        <x:v>3</x:v>
      </x:c>
      <x:c r="V167" s="36" t="str">
        <x:f>A167&amp;".wav"</x:f>
        <x:v>ION_SETT_HURT.wav</x:v>
      </x:c>
      <x:c r="W167" s="36" t="str">
        <x:v>待审核</x:v>
      </x:c>
      <x:c r="X167" s="36" t="str"/>
      <x:c r="Y167" s="36" t="str">
        <x:v>https://universe.leagueoflegends.com/en_US/champion/sett/</x:v>
      </x:c>
    </x:row>
    <x:row r="168" ht="68" customHeight="1">
      <x:c r="A168" s="24" t="str">
        <x:v>ION_SETT_COMBAT</x:v>
      </x:c>
      <x:c r="B168" s="24" t="str">
        <x:v>sett</x:v>
      </x:c>
      <x:c r="C168" s="24" t="str">
        <x:v>瑟提</x:v>
      </x:c>
      <x:c r="D168" s="24" t="str">
        <x:v>COMBAT</x:v>
      </x:c>
      <x:c r="E168" s="24" t="str">
        <x:v>战斗行动</x:v>
      </x:c>
      <x:c r="F168" s="24" t="str">
        <x:v>角色发动标志性行动</x:v>
      </x:c>
      <x:c r="G168" s="24" t="str">
        <x:v>玩家</x:v>
      </x:c>
      <x:c r="H168" s="24" t="str">
        <x:v>战意</x:v>
      </x:c>
      <x:c r="I168" s="24" t="str">
        <x:v>专注</x:v>
      </x:c>
      <x:c r="J168" s="24" t="n">
        <x:v>4</x:v>
      </x:c>
      <x:c r="K168" s="30" t="str">
        <x:v>来，打重一点。你给我的，全都会回到你身上。</x:v>
      </x:c>
      <x:c r="L168" s="30" t="str">
        <x:v>保持直接、街头化、带交易和威胁；避免无脑吼叫或模仿职业摔角腔</x:v>
      </x:c>
      <x:c r="M168" s="30" t="n">
        <x:v>2</x:v>
      </x:c>
      <x:c r="N168" s="30" t="n">
        <x:v>0</x:v>
      </x:c>
      <x:c r="O168" s="30" t="str">
        <x:v>不限</x:v>
      </x:c>
      <x:c r="P168" s="30" t="str">
        <x:v>不限</x:v>
      </x:c>
      <x:c r="Q168" s="30" t="str">
        <x:v>否</x:v>
      </x:c>
      <x:c r="R168" s="30" t="n">
        <x:v>10</x:v>
      </x:c>
      <x:c r="S168" s="30" t="str">
        <x:v>power</x:v>
      </x:c>
      <x:c r="T168" s="30" t="str">
        <x:v>strong</x:v>
      </x:c>
      <x:c r="U168" s="30" t="n">
        <x:v>3</x:v>
      </x:c>
      <x:c r="V168" s="36" t="str">
        <x:f>A168&amp;".wav"</x:f>
        <x:v>ION_SETT_COMBAT.wav</x:v>
      </x:c>
      <x:c r="W168" s="36" t="str">
        <x:v>待审核</x:v>
      </x:c>
      <x:c r="X168" s="36" t="str"/>
      <x:c r="Y168" s="36" t="str">
        <x:v>https://universe.leagueoflegends.com/en_US/champion/sett/</x:v>
      </x:c>
    </x:row>
    <x:row r="169" ht="68" customHeight="1">
      <x:c r="A169" s="24" t="str">
        <x:v>ION_SETT_VICTORY</x:v>
      </x:c>
      <x:c r="B169" s="24" t="str">
        <x:v>sett</x:v>
      </x:c>
      <x:c r="C169" s="24" t="str">
        <x:v>瑟提</x:v>
      </x:c>
      <x:c r="D169" s="24" t="str">
        <x:v>VICTORY</x:v>
      </x:c>
      <x:c r="E169" s="24" t="str">
        <x:v>战斗胜利</x:v>
      </x:c>
      <x:c r="F169" s="24" t="str">
        <x:v>威胁解除并进入结算</x:v>
      </x:c>
      <x:c r="G169" s="24" t="str">
        <x:v>玩家</x:v>
      </x:c>
      <x:c r="H169" s="24" t="str">
        <x:v>释然</x:v>
      </x:c>
      <x:c r="I169" s="24" t="str">
        <x:v>克制喜悦</x:v>
      </x:c>
      <x:c r="J169" s="24" t="n">
        <x:v>3</x:v>
      </x:c>
      <x:c r="K169" s="30" t="str">
        <x:v>都趴下了？行，把桌椅扶起来，今晚还得做生意。</x:v>
      </x:c>
      <x:c r="L169" s="30" t="str">
        <x:v>保持直接、街头化、带交易和威胁；避免无脑吼叫或模仿职业摔角腔</x:v>
      </x:c>
      <x:c r="M169" s="30" t="n">
        <x:v>4</x:v>
      </x:c>
      <x:c r="N169" s="30" t="n">
        <x:v>0</x:v>
      </x:c>
      <x:c r="O169" s="30" t="str">
        <x:v>不限</x:v>
      </x:c>
      <x:c r="P169" s="30" t="str">
        <x:v>不限</x:v>
      </x:c>
      <x:c r="Q169" s="30" t="str">
        <x:v>否</x:v>
      </x:c>
      <x:c r="R169" s="30" t="n">
        <x:v>10</x:v>
      </x:c>
      <x:c r="S169" s="30" t="str">
        <x:v>destiny</x:v>
      </x:c>
      <x:c r="T169" s="30" t="str">
        <x:v>breaker</x:v>
      </x:c>
      <x:c r="U169" s="30" t="n">
        <x:v>3</x:v>
      </x:c>
      <x:c r="V169" s="36" t="str">
        <x:f>A169&amp;".wav"</x:f>
        <x:v>ION_SETT_VICTORY.wav</x:v>
      </x:c>
      <x:c r="W169" s="36" t="str">
        <x:v>待审核</x:v>
      </x:c>
      <x:c r="X169" s="36" t="str"/>
      <x:c r="Y169" s="36" t="str">
        <x:v>https://universe.leagueoflegends.com/en_US/champion/sett/</x:v>
      </x:c>
    </x:row>
    <x:row r="170" ht="68" customHeight="1">
      <x:c r="A170" s="24" t="str">
        <x:v>ION_SETT_DEFEAT</x:v>
      </x:c>
      <x:c r="B170" s="24" t="str">
        <x:v>sett</x:v>
      </x:c>
      <x:c r="C170" s="24" t="str">
        <x:v>瑟提</x:v>
      </x:c>
      <x:c r="D170" s="24" t="str">
        <x:v>DEFEAT</x:v>
      </x:c>
      <x:c r="E170" s="24" t="str">
        <x:v>失败撤退</x:v>
      </x:c>
      <x:c r="F170" s="24" t="str">
        <x:v>角色被迫撤离或计划失败</x:v>
      </x:c>
      <x:c r="G170" s="24" t="str">
        <x:v>玩家</x:v>
      </x:c>
      <x:c r="H170" s="24" t="str">
        <x:v>挫败</x:v>
      </x:c>
      <x:c r="I170" s="24" t="str">
        <x:v>反思</x:v>
      </x:c>
      <x:c r="J170" s="24" t="n">
        <x:v>4</x:v>
      </x:c>
      <x:c r="K170" s="30" t="str">
        <x:v>今天手气不好。撤账，不撤人，改天连本带利收回来。</x:v>
      </x:c>
      <x:c r="L170" s="30" t="str">
        <x:v>保持直接、街头化、带交易和威胁；避免无脑吼叫或模仿职业摔角腔</x:v>
      </x:c>
      <x:c r="M170" s="30" t="n">
        <x:v>5</x:v>
      </x:c>
      <x:c r="N170" s="30" t="n">
        <x:v>0</x:v>
      </x:c>
      <x:c r="O170" s="30" t="str">
        <x:v>不限</x:v>
      </x:c>
      <x:c r="P170" s="30" t="str">
        <x:v>不限</x:v>
      </x:c>
      <x:c r="Q170" s="30" t="str">
        <x:v>否</x:v>
      </x:c>
      <x:c r="R170" s="30" t="n">
        <x:v>10</x:v>
      </x:c>
      <x:c r="S170" s="30" t="str">
        <x:v>spirit</x:v>
      </x:c>
      <x:c r="T170" s="30" t="str">
        <x:v>spirit_fate</x:v>
      </x:c>
      <x:c r="U170" s="30" t="n">
        <x:v>3</x:v>
      </x:c>
      <x:c r="V170" s="36" t="str">
        <x:f>A170&amp;".wav"</x:f>
        <x:v>ION_SETT_DEFEAT.wav</x:v>
      </x:c>
      <x:c r="W170" s="36" t="str">
        <x:v>待审核</x:v>
      </x:c>
      <x:c r="X170" s="36" t="str"/>
      <x:c r="Y170" s="36" t="str">
        <x:v>https://universe.leagueoflegends.com/en_US/champion/sett/</x:v>
      </x:c>
    </x:row>
    <x:row r="171" ht="68" customHeight="1">
      <x:c r="A171" s="24" t="str">
        <x:v>ION_SETT_LORE</x:v>
      </x:c>
      <x:c r="B171" s="24" t="str">
        <x:v>sett</x:v>
      </x:c>
      <x:c r="C171" s="24" t="str">
        <x:v>瑟提</x:v>
      </x:c>
      <x:c r="D171" s="24" t="str">
        <x:v>LORE</x:v>
      </x:c>
      <x:c r="E171" s="24" t="str">
        <x:v>世界观讲述</x:v>
      </x:c>
      <x:c r="F171" s="24" t="str">
        <x:v>玩家询问人物、地点或往事</x:v>
      </x:c>
      <x:c r="G171" s="24" t="str">
        <x:v>玩家</x:v>
      </x:c>
      <x:c r="H171" s="24" t="str">
        <x:v>叙述</x:v>
      </x:c>
      <x:c r="I171" s="24" t="str">
        <x:v>怀念</x:v>
      </x:c>
      <x:c r="J171" s="24" t="n">
        <x:v>2</x:v>
      </x:c>
      <x:c r="K171" s="30" t="str">
        <x:v>这里的人不问你血统，只问你倒下以后还能不能站起来。</x:v>
      </x:c>
      <x:c r="L171" s="30" t="str">
        <x:v>保持直接、街头化、带交易和威胁；避免无脑吼叫或模仿职业摔角腔</x:v>
      </x:c>
      <x:c r="M171" s="30" t="n">
        <x:v>8</x:v>
      </x:c>
      <x:c r="N171" s="30" t="n">
        <x:v>0</x:v>
      </x:c>
      <x:c r="O171" s="30" t="str">
        <x:v>不限</x:v>
      </x:c>
      <x:c r="P171" s="30" t="str">
        <x:v>不限</x:v>
      </x:c>
      <x:c r="Q171" s="30" t="str">
        <x:v>是</x:v>
      </x:c>
      <x:c r="R171" s="30" t="n">
        <x:v>10</x:v>
      </x:c>
      <x:c r="S171" s="30" t="str">
        <x:v>spirit</x:v>
      </x:c>
      <x:c r="T171" s="30" t="str">
        <x:v>spirit_fate</x:v>
      </x:c>
      <x:c r="U171" s="30" t="n">
        <x:v>0</x:v>
      </x:c>
      <x:c r="V171" s="36" t="str">
        <x:f>A171&amp;".wav"</x:f>
        <x:v>ION_SETT_LORE.wav</x:v>
      </x:c>
      <x:c r="W171" s="36" t="str">
        <x:v>待审核</x:v>
      </x:c>
      <x:c r="X171" s="36" t="str"/>
      <x:c r="Y171" s="36" t="str">
        <x:v>https://universe.leagueoflegends.com/en_US/champion/sett/</x:v>
      </x:c>
    </x:row>
    <x:row r="172" ht="68" customHeight="1">
      <x:c r="A172" s="24" t="str">
        <x:v>ION_SETT_FAREWELL</x:v>
      </x:c>
      <x:c r="B172" s="24" t="str">
        <x:v>sett</x:v>
      </x:c>
      <x:c r="C172" s="24" t="str">
        <x:v>瑟提</x:v>
      </x:c>
      <x:c r="D172" s="24" t="str">
        <x:v>FAREWELL</x:v>
      </x:c>
      <x:c r="E172" s="24" t="str">
        <x:v>阶段告别</x:v>
      </x:c>
      <x:c r="F172" s="24" t="str">
        <x:v>事件结束或角色离开队伍</x:v>
      </x:c>
      <x:c r="G172" s="24" t="str">
        <x:v>玩家</x:v>
      </x:c>
      <x:c r="H172" s="24" t="str">
        <x:v>告别</x:v>
      </x:c>
      <x:c r="I172" s="24" t="str">
        <x:v>复杂</x:v>
      </x:c>
      <x:c r="J172" s="24" t="n">
        <x:v>3</x:v>
      </x:c>
      <x:c r="K172" s="30" t="str">
        <x:v>我还有场子要看。想再见我，就先让自己变得值钱点。</x:v>
      </x:c>
      <x:c r="L172" s="30" t="str">
        <x:v>保持直接、街头化、带交易和威胁；避免无脑吼叫或模仿职业摔角腔</x:v>
      </x:c>
      <x:c r="M172" s="30" t="n">
        <x:v>5</x:v>
      </x:c>
      <x:c r="N172" s="30" t="n">
        <x:v>0</x:v>
      </x:c>
      <x:c r="O172" s="30" t="str">
        <x:v>不限</x:v>
      </x:c>
      <x:c r="P172" s="30" t="str">
        <x:v>不限</x:v>
      </x:c>
      <x:c r="Q172" s="30" t="str">
        <x:v>否</x:v>
      </x:c>
      <x:c r="R172" s="30" t="n">
        <x:v>10</x:v>
      </x:c>
      <x:c r="S172" s="30" t="str">
        <x:v>freedom</x:v>
      </x:c>
      <x:c r="T172" s="30" t="str">
        <x:v>wanderer</x:v>
      </x:c>
      <x:c r="U172" s="30" t="n">
        <x:v>3</x:v>
      </x:c>
      <x:c r="V172" s="36" t="str">
        <x:f>A172&amp;".wav"</x:f>
        <x:v>ION_SETT_FAREWELL.wav</x:v>
      </x:c>
      <x:c r="W172" s="36" t="str">
        <x:v>待审核</x:v>
      </x:c>
      <x:c r="X172" s="36" t="str"/>
      <x:c r="Y172" s="36" t="str">
        <x:v>https://universe.leagueoflegends.com/en_US/champion/sett/</x:v>
      </x:c>
    </x:row>
    <x:row r="173" ht="68" customHeight="1">
      <x:c r="A173" s="24" t="str">
        <x:v>ION_SHEN_MEET</x:v>
      </x:c>
      <x:c r="B173" s="24" t="str">
        <x:v>shen</x:v>
      </x:c>
      <x:c r="C173" s="24" t="str">
        <x:v>慎</x:v>
      </x:c>
      <x:c r="D173" s="24" t="str">
        <x:v>MEET</x:v>
      </x:c>
      <x:c r="E173" s="24" t="str">
        <x:v>初次相遇</x:v>
      </x:c>
      <x:c r="F173" s="24" t="str">
        <x:v>玩家第一次接近角色</x:v>
      </x:c>
      <x:c r="G173" s="24" t="str">
        <x:v>玩家</x:v>
      </x:c>
      <x:c r="H173" s="24" t="str">
        <x:v>审视</x:v>
      </x:c>
      <x:c r="I173" s="24" t="str">
        <x:v>中性</x:v>
      </x:c>
      <x:c r="J173" s="24" t="n">
        <x:v>2</x:v>
      </x:c>
      <x:c r="K173" s="30" t="str">
        <x:v>说明来意。隐瞒只会让两个世界同时怀疑你。</x:v>
      </x:c>
      <x:c r="L173" s="30" t="str">
        <x:v>保持客观、低沉、很少多余修饰；避免机器人式无情</x:v>
      </x:c>
      <x:c r="M173" s="30" t="n">
        <x:v>4</x:v>
      </x:c>
      <x:c r="N173" s="30" t="n">
        <x:v>0</x:v>
      </x:c>
      <x:c r="O173" s="30" t="str">
        <x:v>不限</x:v>
      </x:c>
      <x:c r="P173" s="30" t="str">
        <x:v>不限</x:v>
      </x:c>
      <x:c r="Q173" s="30" t="str">
        <x:v>是</x:v>
      </x:c>
      <x:c r="R173" s="30" t="n">
        <x:v>10</x:v>
      </x:c>
      <x:c r="S173" s="30" t="str">
        <x:v>destiny</x:v>
      </x:c>
      <x:c r="T173" s="30" t="str">
        <x:v>breaker</x:v>
      </x:c>
      <x:c r="U173" s="30" t="n">
        <x:v>0</x:v>
      </x:c>
      <x:c r="V173" s="36" t="str">
        <x:f>A173&amp;".wav"</x:f>
        <x:v>ION_SHEN_MEET.wav</x:v>
      </x:c>
      <x:c r="W173" s="36" t="str">
        <x:v>待审核</x:v>
      </x:c>
      <x:c r="X173" s="36" t="str"/>
      <x:c r="Y173" s="36" t="str">
        <x:v>https://universe.leagueoflegends.com/en_US/champion/shen/</x:v>
      </x:c>
    </x:row>
    <x:row r="174" ht="68" customHeight="1">
      <x:c r="A174" s="24" t="str">
        <x:v>ION_SHEN_GREET</x:v>
      </x:c>
      <x:c r="B174" s="24" t="str">
        <x:v>shen</x:v>
      </x:c>
      <x:c r="C174" s="24" t="str">
        <x:v>慎</x:v>
      </x:c>
      <x:c r="D174" s="24" t="str">
        <x:v>GREET</x:v>
      </x:c>
      <x:c r="E174" s="24" t="str">
        <x:v>友好问候</x:v>
      </x:c>
      <x:c r="F174" s="24" t="str">
        <x:v>关系值达到友好后进入对话</x:v>
      </x:c>
      <x:c r="G174" s="24" t="str">
        <x:v>玩家</x:v>
      </x:c>
      <x:c r="H174" s="24" t="str">
        <x:v>友善</x:v>
      </x:c>
      <x:c r="I174" s="24" t="str">
        <x:v>喜悦</x:v>
      </x:c>
      <x:c r="J174" s="24" t="n">
        <x:v>2</x:v>
      </x:c>
      <x:c r="K174" s="30" t="str">
        <x:v>你的心绪比上次平稳。均衡并非没有变化，而是不被变化吞没。</x:v>
      </x:c>
      <x:c r="L174" s="30" t="str">
        <x:v>保持客观、低沉、很少多余修饰；避免机器人式无情</x:v>
      </x:c>
      <x:c r="M174" s="30" t="n">
        <x:v>3</x:v>
      </x:c>
      <x:c r="N174" s="30" t="n">
        <x:v>10</x:v>
      </x:c>
      <x:c r="O174" s="30" t="str">
        <x:v>不限</x:v>
      </x:c>
      <x:c r="P174" s="30" t="str">
        <x:v>不限</x:v>
      </x:c>
      <x:c r="Q174" s="30" t="str">
        <x:v>否</x:v>
      </x:c>
      <x:c r="R174" s="30" t="n">
        <x:v>10</x:v>
      </x:c>
      <x:c r="S174" s="30" t="str">
        <x:v>peace</x:v>
      </x:c>
      <x:c r="T174" s="30" t="str">
        <x:v>guardian</x:v>
      </x:c>
      <x:c r="U174" s="30" t="n">
        <x:v>3</x:v>
      </x:c>
      <x:c r="V174" s="36" t="str">
        <x:f>A174&amp;".wav"</x:f>
        <x:v>ION_SHEN_GREET.wav</x:v>
      </x:c>
      <x:c r="W174" s="36" t="str">
        <x:v>待审核</x:v>
      </x:c>
      <x:c r="X174" s="36" t="str"/>
      <x:c r="Y174" s="36" t="str">
        <x:v>https://universe.leagueoflegends.com/en_US/champion/shen/</x:v>
      </x:c>
    </x:row>
    <x:row r="175" ht="68" customHeight="1">
      <x:c r="A175" s="24" t="str">
        <x:v>ION_SHEN_WARN</x:v>
      </x:c>
      <x:c r="B175" s="24" t="str">
        <x:v>shen</x:v>
      </x:c>
      <x:c r="C175" s="24" t="str">
        <x:v>慎</x:v>
      </x:c>
      <x:c r="D175" s="24" t="str">
        <x:v>WARN</x:v>
      </x:c>
      <x:c r="E175" s="24" t="str">
        <x:v>危险警告</x:v>
      </x:c>
      <x:c r="F175" s="24" t="str">
        <x:v>区域威胁或伏击即将发生</x:v>
      </x:c>
      <x:c r="G175" s="24" t="str">
        <x:v>玩家</x:v>
      </x:c>
      <x:c r="H175" s="24" t="str">
        <x:v>紧张</x:v>
      </x:c>
      <x:c r="I175" s="24" t="str">
        <x:v>警觉</x:v>
      </x:c>
      <x:c r="J175" s="24" t="n">
        <x:v>3</x:v>
      </x:c>
      <x:c r="K175" s="30" t="str">
        <x:v>灵界正在后退。通常这意味着某种东西正在向前。</x:v>
      </x:c>
      <x:c r="L175" s="30" t="str">
        <x:v>保持客观、低沉、很少多余修饰；避免机器人式无情</x:v>
      </x:c>
      <x:c r="M175" s="30" t="n">
        <x:v>3</x:v>
      </x:c>
      <x:c r="N175" s="30" t="n">
        <x:v>0</x:v>
      </x:c>
      <x:c r="O175" s="30" t="str">
        <x:v>不限</x:v>
      </x:c>
      <x:c r="P175" s="30" t="str">
        <x:v>不限</x:v>
      </x:c>
      <x:c r="Q175" s="30" t="str">
        <x:v>否</x:v>
      </x:c>
      <x:c r="R175" s="30" t="n">
        <x:v>10</x:v>
      </x:c>
      <x:c r="S175" s="30" t="str">
        <x:v>destiny</x:v>
      </x:c>
      <x:c r="T175" s="30" t="str">
        <x:v>breaker</x:v>
      </x:c>
      <x:c r="U175" s="30" t="n">
        <x:v>3</x:v>
      </x:c>
      <x:c r="V175" s="36" t="str">
        <x:f>A175&amp;".wav"</x:f>
        <x:v>ION_SHEN_WARN.wav</x:v>
      </x:c>
      <x:c r="W175" s="36" t="str">
        <x:v>待审核</x:v>
      </x:c>
      <x:c r="X175" s="36" t="str"/>
      <x:c r="Y175" s="36" t="str">
        <x:v>https://universe.leagueoflegends.com/en_US/champion/shen/</x:v>
      </x:c>
    </x:row>
    <x:row r="176" ht="68" customHeight="1">
      <x:c r="A176" s="24" t="str">
        <x:v>ION_SHEN_REFUSE</x:v>
      </x:c>
      <x:c r="B176" s="24" t="str">
        <x:v>shen</x:v>
      </x:c>
      <x:c r="C176" s="24" t="str">
        <x:v>慎</x:v>
      </x:c>
      <x:c r="D176" s="24" t="str">
        <x:v>REFUSE</x:v>
      </x:c>
      <x:c r="E176" s="24" t="str">
        <x:v>拒绝请求</x:v>
      </x:c>
      <x:c r="F176" s="24" t="str">
        <x:v>玩家请求触碰角色底线</x:v>
      </x:c>
      <x:c r="G176" s="24" t="str">
        <x:v>玩家</x:v>
      </x:c>
      <x:c r="H176" s="24" t="str">
        <x:v>拒绝</x:v>
      </x:c>
      <x:c r="I176" s="24" t="str">
        <x:v>厌恶</x:v>
      </x:c>
      <x:c r="J176" s="24" t="n">
        <x:v>3</x:v>
      </x:c>
      <x:c r="K176" s="30" t="str">
        <x:v>我不能因你的急切，破坏更多人赖以存在的边界。</x:v>
      </x:c>
      <x:c r="L176" s="30" t="str">
        <x:v>保持客观、低沉、很少多余修饰；避免机器人式无情</x:v>
      </x:c>
      <x:c r="M176" s="30" t="n">
        <x:v>4</x:v>
      </x:c>
      <x:c r="N176" s="30" t="n">
        <x:v>-20</x:v>
      </x:c>
      <x:c r="O176" s="30" t="str">
        <x:v>不限</x:v>
      </x:c>
      <x:c r="P176" s="30" t="str">
        <x:v>不限</x:v>
      </x:c>
      <x:c r="Q176" s="30" t="str">
        <x:v>否</x:v>
      </x:c>
      <x:c r="R176" s="30" t="n">
        <x:v>10</x:v>
      </x:c>
      <x:c r="S176" s="30" t="str">
        <x:v>freedom</x:v>
      </x:c>
      <x:c r="T176" s="30" t="str">
        <x:v>wanderer</x:v>
      </x:c>
      <x:c r="U176" s="30" t="n">
        <x:v>3</x:v>
      </x:c>
      <x:c r="V176" s="36" t="str">
        <x:f>A176&amp;".wav"</x:f>
        <x:v>ION_SHEN_REFUSE.wav</x:v>
      </x:c>
      <x:c r="W176" s="36" t="str">
        <x:v>待审核</x:v>
      </x:c>
      <x:c r="X176" s="36" t="str"/>
      <x:c r="Y176" s="36" t="str">
        <x:v>https://universe.leagueoflegends.com/en_US/champion/shen/</x:v>
      </x:c>
    </x:row>
    <x:row r="177" ht="68" customHeight="1">
      <x:c r="A177" s="24" t="str">
        <x:v>ION_SHEN_TRUST</x:v>
      </x:c>
      <x:c r="B177" s="24" t="str">
        <x:v>shen</x:v>
      </x:c>
      <x:c r="C177" s="24" t="str">
        <x:v>慎</x:v>
      </x:c>
      <x:c r="D177" s="24" t="str">
        <x:v>TRUST</x:v>
      </x:c>
      <x:c r="E177" s="24" t="str">
        <x:v>建立信任</x:v>
      </x:c>
      <x:c r="F177" s="24" t="str">
        <x:v>玩家满足角色的信任条件</x:v>
      </x:c>
      <x:c r="G177" s="24" t="str">
        <x:v>玩家</x:v>
      </x:c>
      <x:c r="H177" s="24" t="str">
        <x:v>信任</x:v>
      </x:c>
      <x:c r="I177" s="24" t="str">
        <x:v>柔和</x:v>
      </x:c>
      <x:c r="J177" s="24" t="n">
        <x:v>3</x:v>
      </x:c>
      <x:c r="K177" s="30" t="str">
        <x:v>我守住灵界一侧。物质世界的选择，由你承担。</x:v>
      </x:c>
      <x:c r="L177" s="30" t="str">
        <x:v>保持客观、低沉、很少多余修饰；避免机器人式无情</x:v>
      </x:c>
      <x:c r="M177" s="30" t="n">
        <x:v>5</x:v>
      </x:c>
      <x:c r="N177" s="30" t="n">
        <x:v>40</x:v>
      </x:c>
      <x:c r="O177" s="30" t="str">
        <x:v>不限</x:v>
      </x:c>
      <x:c r="P177" s="30" t="str">
        <x:v>不限</x:v>
      </x:c>
      <x:c r="Q177" s="30" t="str">
        <x:v>是</x:v>
      </x:c>
      <x:c r="R177" s="30" t="n">
        <x:v>10</x:v>
      </x:c>
      <x:c r="S177" s="30" t="str">
        <x:v>peace</x:v>
      </x:c>
      <x:c r="T177" s="30" t="str">
        <x:v>guardian</x:v>
      </x:c>
      <x:c r="U177" s="30" t="n">
        <x:v>0</x:v>
      </x:c>
      <x:c r="V177" s="36" t="str">
        <x:f>A177&amp;".wav"</x:f>
        <x:v>ION_SHEN_TRUST.wav</x:v>
      </x:c>
      <x:c r="W177" s="36" t="str">
        <x:v>待审核</x:v>
      </x:c>
      <x:c r="X177" s="36" t="str"/>
      <x:c r="Y177" s="36" t="str">
        <x:v>https://universe.leagueoflegends.com/en_US/champion/shen/</x:v>
      </x:c>
    </x:row>
    <x:row r="178" ht="68" customHeight="1">
      <x:c r="A178" s="24" t="str">
        <x:v>ION_SHEN_ANGER</x:v>
      </x:c>
      <x:c r="B178" s="24" t="str">
        <x:v>shen</x:v>
      </x:c>
      <x:c r="C178" s="24" t="str">
        <x:v>慎</x:v>
      </x:c>
      <x:c r="D178" s="24" t="str">
        <x:v>ANGER</x:v>
      </x:c>
      <x:c r="E178" s="24" t="str">
        <x:v>被激怒</x:v>
      </x:c>
      <x:c r="F178" s="24" t="str">
        <x:v>玩家触发角色主要怒点</x:v>
      </x:c>
      <x:c r="G178" s="24" t="str">
        <x:v>玩家</x:v>
      </x:c>
      <x:c r="H178" s="24" t="str">
        <x:v>愤怒</x:v>
      </x:c>
      <x:c r="I178" s="24" t="str">
        <x:v>受伤</x:v>
      </x:c>
      <x:c r="J178" s="24" t="n">
        <x:v>4</x:v>
      </x:c>
      <x:c r="K178" s="30" t="str">
        <x:v>私人情感不能成为裁决，但你正在逼它成为。</x:v>
      </x:c>
      <x:c r="L178" s="30" t="str">
        <x:v>保持客观、低沉、很少多余修饰；避免机器人式无情</x:v>
      </x:c>
      <x:c r="M178" s="30" t="n">
        <x:v>4</x:v>
      </x:c>
      <x:c r="N178" s="30" t="n">
        <x:v>-20</x:v>
      </x:c>
      <x:c r="O178" s="30" t="str">
        <x:v>不限</x:v>
      </x:c>
      <x:c r="P178" s="30" t="str">
        <x:v>不限</x:v>
      </x:c>
      <x:c r="Q178" s="30" t="str">
        <x:v>否</x:v>
      </x:c>
      <x:c r="R178" s="30" t="n">
        <x:v>10</x:v>
      </x:c>
      <x:c r="S178" s="30" t="str">
        <x:v>power</x:v>
      </x:c>
      <x:c r="T178" s="30" t="str">
        <x:v>strong</x:v>
      </x:c>
      <x:c r="U178" s="30" t="n">
        <x:v>3</x:v>
      </x:c>
      <x:c r="V178" s="36" t="str">
        <x:f>A178&amp;".wav"</x:f>
        <x:v>ION_SHEN_ANGER.wav</x:v>
      </x:c>
      <x:c r="W178" s="36" t="str">
        <x:v>待审核</x:v>
      </x:c>
      <x:c r="X178" s="36" t="str"/>
      <x:c r="Y178" s="36" t="str">
        <x:v>https://universe.leagueoflegends.com/en_US/champion/shen/</x:v>
      </x:c>
    </x:row>
    <x:row r="179" ht="68" customHeight="1">
      <x:c r="A179" s="24" t="str">
        <x:v>ION_SHEN_HURT</x:v>
      </x:c>
      <x:c r="B179" s="24" t="str">
        <x:v>shen</x:v>
      </x:c>
      <x:c r="C179" s="24" t="str">
        <x:v>慎</x:v>
      </x:c>
      <x:c r="D179" s="24" t="str">
        <x:v>HURT</x:v>
      </x:c>
      <x:c r="E179" s="24" t="str">
        <x:v>受伤反馈</x:v>
      </x:c>
      <x:c r="F179" s="24" t="str">
        <x:v>角色受到重击但仍可行动</x:v>
      </x:c>
      <x:c r="G179" s="24" t="str">
        <x:v>玩家</x:v>
      </x:c>
      <x:c r="H179" s="24" t="str">
        <x:v>痛苦</x:v>
      </x:c>
      <x:c r="I179" s="24" t="str">
        <x:v>坚持</x:v>
      </x:c>
      <x:c r="J179" s="24" t="n">
        <x:v>4</x:v>
      </x:c>
      <x:c r="K179" s="30" t="str">
        <x:v>身体受损，职责未变。继续观察裂缝。</x:v>
      </x:c>
      <x:c r="L179" s="30" t="str">
        <x:v>保持客观、低沉、很少多余修饰；避免机器人式无情</x:v>
      </x:c>
      <x:c r="M179" s="30" t="n">
        <x:v>2</x:v>
      </x:c>
      <x:c r="N179" s="30" t="n">
        <x:v>0</x:v>
      </x:c>
      <x:c r="O179" s="30" t="str">
        <x:v>不限</x:v>
      </x:c>
      <x:c r="P179" s="30" t="str">
        <x:v>不限</x:v>
      </x:c>
      <x:c r="Q179" s="30" t="str">
        <x:v>否</x:v>
      </x:c>
      <x:c r="R179" s="30" t="n">
        <x:v>10</x:v>
      </x:c>
      <x:c r="S179" s="30" t="str">
        <x:v>peace</x:v>
      </x:c>
      <x:c r="T179" s="30" t="str">
        <x:v>guardian</x:v>
      </x:c>
      <x:c r="U179" s="30" t="n">
        <x:v>3</x:v>
      </x:c>
      <x:c r="V179" s="36" t="str">
        <x:f>A179&amp;".wav"</x:f>
        <x:v>ION_SHEN_HURT.wav</x:v>
      </x:c>
      <x:c r="W179" s="36" t="str">
        <x:v>待审核</x:v>
      </x:c>
      <x:c r="X179" s="36" t="str"/>
      <x:c r="Y179" s="36" t="str">
        <x:v>https://universe.leagueoflegends.com/en_US/champion/shen/</x:v>
      </x:c>
    </x:row>
    <x:row r="180" ht="68" customHeight="1">
      <x:c r="A180" s="24" t="str">
        <x:v>ION_SHEN_COMBAT</x:v>
      </x:c>
      <x:c r="B180" s="24" t="str">
        <x:v>shen</x:v>
      </x:c>
      <x:c r="C180" s="24" t="str">
        <x:v>慎</x:v>
      </x:c>
      <x:c r="D180" s="24" t="str">
        <x:v>COMBAT</x:v>
      </x:c>
      <x:c r="E180" s="24" t="str">
        <x:v>战斗行动</x:v>
      </x:c>
      <x:c r="F180" s="24" t="str">
        <x:v>角色发动标志性行动</x:v>
      </x:c>
      <x:c r="G180" s="24" t="str">
        <x:v>玩家</x:v>
      </x:c>
      <x:c r="H180" s="24" t="str">
        <x:v>战意</x:v>
      </x:c>
      <x:c r="I180" s="24" t="str">
        <x:v>专注</x:v>
      </x:c>
      <x:c r="J180" s="24" t="n">
        <x:v>4</x:v>
      </x:c>
      <x:c r="K180" s="30" t="str">
        <x:v>灵刃已经找到失衡之处。保持距离。</x:v>
      </x:c>
      <x:c r="L180" s="30" t="str">
        <x:v>保持客观、低沉、很少多余修饰；避免机器人式无情</x:v>
      </x:c>
      <x:c r="M180" s="30" t="n">
        <x:v>2</x:v>
      </x:c>
      <x:c r="N180" s="30" t="n">
        <x:v>0</x:v>
      </x:c>
      <x:c r="O180" s="30" t="str">
        <x:v>不限</x:v>
      </x:c>
      <x:c r="P180" s="30" t="str">
        <x:v>不限</x:v>
      </x:c>
      <x:c r="Q180" s="30" t="str">
        <x:v>否</x:v>
      </x:c>
      <x:c r="R180" s="30" t="n">
        <x:v>10</x:v>
      </x:c>
      <x:c r="S180" s="30" t="str">
        <x:v>power</x:v>
      </x:c>
      <x:c r="T180" s="30" t="str">
        <x:v>strong</x:v>
      </x:c>
      <x:c r="U180" s="30" t="n">
        <x:v>3</x:v>
      </x:c>
      <x:c r="V180" s="36" t="str">
        <x:f>A180&amp;".wav"</x:f>
        <x:v>ION_SHEN_COMBAT.wav</x:v>
      </x:c>
      <x:c r="W180" s="36" t="str">
        <x:v>待审核</x:v>
      </x:c>
      <x:c r="X180" s="36" t="str"/>
      <x:c r="Y180" s="36" t="str">
        <x:v>https://universe.leagueoflegends.com/en_US/champion/shen/</x:v>
      </x:c>
    </x:row>
    <x:row r="181" ht="68" customHeight="1">
      <x:c r="A181" s="24" t="str">
        <x:v>ION_SHEN_VICTORY</x:v>
      </x:c>
      <x:c r="B181" s="24" t="str">
        <x:v>shen</x:v>
      </x:c>
      <x:c r="C181" s="24" t="str">
        <x:v>慎</x:v>
      </x:c>
      <x:c r="D181" s="24" t="str">
        <x:v>VICTORY</x:v>
      </x:c>
      <x:c r="E181" s="24" t="str">
        <x:v>战斗胜利</x:v>
      </x:c>
      <x:c r="F181" s="24" t="str">
        <x:v>威胁解除并进入结算</x:v>
      </x:c>
      <x:c r="G181" s="24" t="str">
        <x:v>玩家</x:v>
      </x:c>
      <x:c r="H181" s="24" t="str">
        <x:v>释然</x:v>
      </x:c>
      <x:c r="I181" s="24" t="str">
        <x:v>克制喜悦</x:v>
      </x:c>
      <x:c r="J181" s="24" t="n">
        <x:v>3</x:v>
      </x:c>
      <x:c r="K181" s="30" t="str">
        <x:v>边界恢复了。不要追击，让两界各自归位。</x:v>
      </x:c>
      <x:c r="L181" s="30" t="str">
        <x:v>保持客观、低沉、很少多余修饰；避免机器人式无情</x:v>
      </x:c>
      <x:c r="M181" s="30" t="n">
        <x:v>4</x:v>
      </x:c>
      <x:c r="N181" s="30" t="n">
        <x:v>0</x:v>
      </x:c>
      <x:c r="O181" s="30" t="str">
        <x:v>不限</x:v>
      </x:c>
      <x:c r="P181" s="30" t="str">
        <x:v>不限</x:v>
      </x:c>
      <x:c r="Q181" s="30" t="str">
        <x:v>否</x:v>
      </x:c>
      <x:c r="R181" s="30" t="n">
        <x:v>10</x:v>
      </x:c>
      <x:c r="S181" s="30" t="str">
        <x:v>destiny</x:v>
      </x:c>
      <x:c r="T181" s="30" t="str">
        <x:v>breaker</x:v>
      </x:c>
      <x:c r="U181" s="30" t="n">
        <x:v>3</x:v>
      </x:c>
      <x:c r="V181" s="36" t="str">
        <x:f>A181&amp;".wav"</x:f>
        <x:v>ION_SHEN_VICTORY.wav</x:v>
      </x:c>
      <x:c r="W181" s="36" t="str">
        <x:v>待审核</x:v>
      </x:c>
      <x:c r="X181" s="36" t="str"/>
      <x:c r="Y181" s="36" t="str">
        <x:v>https://universe.leagueoflegends.com/en_US/champion/shen/</x:v>
      </x:c>
    </x:row>
    <x:row r="182" ht="68" customHeight="1">
      <x:c r="A182" s="24" t="str">
        <x:v>ION_SHEN_DEFEAT</x:v>
      </x:c>
      <x:c r="B182" s="24" t="str">
        <x:v>shen</x:v>
      </x:c>
      <x:c r="C182" s="24" t="str">
        <x:v>慎</x:v>
      </x:c>
      <x:c r="D182" s="24" t="str">
        <x:v>DEFEAT</x:v>
      </x:c>
      <x:c r="E182" s="24" t="str">
        <x:v>失败撤退</x:v>
      </x:c>
      <x:c r="F182" s="24" t="str">
        <x:v>角色被迫撤离或计划失败</x:v>
      </x:c>
      <x:c r="G182" s="24" t="str">
        <x:v>玩家</x:v>
      </x:c>
      <x:c r="H182" s="24" t="str">
        <x:v>挫败</x:v>
      </x:c>
      <x:c r="I182" s="24" t="str">
        <x:v>反思</x:v>
      </x:c>
      <x:c r="J182" s="24" t="n">
        <x:v>4</x:v>
      </x:c>
      <x:c r="K182" s="30" t="str">
        <x:v>此处的平衡无法维持。撤离，避免裂隙扩散。</x:v>
      </x:c>
      <x:c r="L182" s="30" t="str">
        <x:v>保持客观、低沉、很少多余修饰；避免机器人式无情</x:v>
      </x:c>
      <x:c r="M182" s="30" t="n">
        <x:v>5</x:v>
      </x:c>
      <x:c r="N182" s="30" t="n">
        <x:v>0</x:v>
      </x:c>
      <x:c r="O182" s="30" t="str">
        <x:v>不限</x:v>
      </x:c>
      <x:c r="P182" s="30" t="str">
        <x:v>不限</x:v>
      </x:c>
      <x:c r="Q182" s="30" t="str">
        <x:v>否</x:v>
      </x:c>
      <x:c r="R182" s="30" t="n">
        <x:v>10</x:v>
      </x:c>
      <x:c r="S182" s="30" t="str">
        <x:v>spirit</x:v>
      </x:c>
      <x:c r="T182" s="30" t="str">
        <x:v>spirit_fate</x:v>
      </x:c>
      <x:c r="U182" s="30" t="n">
        <x:v>3</x:v>
      </x:c>
      <x:c r="V182" s="36" t="str">
        <x:f>A182&amp;".wav"</x:f>
        <x:v>ION_SHEN_DEFEAT.wav</x:v>
      </x:c>
      <x:c r="W182" s="36" t="str">
        <x:v>待审核</x:v>
      </x:c>
      <x:c r="X182" s="36" t="str"/>
      <x:c r="Y182" s="36" t="str">
        <x:v>https://universe.leagueoflegends.com/en_US/champion/shen/</x:v>
      </x:c>
    </x:row>
    <x:row r="183" ht="68" customHeight="1">
      <x:c r="A183" s="24" t="str">
        <x:v>ION_SHEN_LORE</x:v>
      </x:c>
      <x:c r="B183" s="24" t="str">
        <x:v>shen</x:v>
      </x:c>
      <x:c r="C183" s="24" t="str">
        <x:v>慎</x:v>
      </x:c>
      <x:c r="D183" s="24" t="str">
        <x:v>LORE</x:v>
      </x:c>
      <x:c r="E183" s="24" t="str">
        <x:v>世界观讲述</x:v>
      </x:c>
      <x:c r="F183" s="24" t="str">
        <x:v>玩家询问人物、地点或往事</x:v>
      </x:c>
      <x:c r="G183" s="24" t="str">
        <x:v>玩家</x:v>
      </x:c>
      <x:c r="H183" s="24" t="str">
        <x:v>叙述</x:v>
      </x:c>
      <x:c r="I183" s="24" t="str">
        <x:v>怀念</x:v>
      </x:c>
      <x:c r="J183" s="24" t="n">
        <x:v>2</x:v>
      </x:c>
      <x:c r="K183" s="30" t="str">
        <x:v>均衡不是原谅所有伤害，而是不让一种伤害制造无尽的下一种。</x:v>
      </x:c>
      <x:c r="L183" s="30" t="str">
        <x:v>保持客观、低沉、很少多余修饰；避免机器人式无情</x:v>
      </x:c>
      <x:c r="M183" s="30" t="n">
        <x:v>8</x:v>
      </x:c>
      <x:c r="N183" s="30" t="n">
        <x:v>0</x:v>
      </x:c>
      <x:c r="O183" s="30" t="str">
        <x:v>不限</x:v>
      </x:c>
      <x:c r="P183" s="30" t="str">
        <x:v>不限</x:v>
      </x:c>
      <x:c r="Q183" s="30" t="str">
        <x:v>是</x:v>
      </x:c>
      <x:c r="R183" s="30" t="n">
        <x:v>10</x:v>
      </x:c>
      <x:c r="S183" s="30" t="str">
        <x:v>spirit</x:v>
      </x:c>
      <x:c r="T183" s="30" t="str">
        <x:v>spirit_fate</x:v>
      </x:c>
      <x:c r="U183" s="30" t="n">
        <x:v>0</x:v>
      </x:c>
      <x:c r="V183" s="36" t="str">
        <x:f>A183&amp;".wav"</x:f>
        <x:v>ION_SHEN_LORE.wav</x:v>
      </x:c>
      <x:c r="W183" s="36" t="str">
        <x:v>待审核</x:v>
      </x:c>
      <x:c r="X183" s="36" t="str"/>
      <x:c r="Y183" s="36" t="str">
        <x:v>https://universe.leagueoflegends.com/en_US/champion/shen/</x:v>
      </x:c>
    </x:row>
    <x:row r="184" ht="68" customHeight="1">
      <x:c r="A184" s="24" t="str">
        <x:v>ION_SHEN_FAREWELL</x:v>
      </x:c>
      <x:c r="B184" s="24" t="str">
        <x:v>shen</x:v>
      </x:c>
      <x:c r="C184" s="24" t="str">
        <x:v>慎</x:v>
      </x:c>
      <x:c r="D184" s="24" t="str">
        <x:v>FAREWELL</x:v>
      </x:c>
      <x:c r="E184" s="24" t="str">
        <x:v>阶段告别</x:v>
      </x:c>
      <x:c r="F184" s="24" t="str">
        <x:v>事件结束或角色离开队伍</x:v>
      </x:c>
      <x:c r="G184" s="24" t="str">
        <x:v>玩家</x:v>
      </x:c>
      <x:c r="H184" s="24" t="str">
        <x:v>告别</x:v>
      </x:c>
      <x:c r="I184" s="24" t="str">
        <x:v>复杂</x:v>
      </x:c>
      <x:c r="J184" s="24" t="n">
        <x:v>3</x:v>
      </x:c>
      <x:c r="K184" s="30" t="str">
        <x:v>我必须巡行另一处边界。愿你在无人注视时仍守住选择。</x:v>
      </x:c>
      <x:c r="L184" s="30" t="str">
        <x:v>保持客观、低沉、很少多余修饰；避免机器人式无情</x:v>
      </x:c>
      <x:c r="M184" s="30" t="n">
        <x:v>5</x:v>
      </x:c>
      <x:c r="N184" s="30" t="n">
        <x:v>0</x:v>
      </x:c>
      <x:c r="O184" s="30" t="str">
        <x:v>不限</x:v>
      </x:c>
      <x:c r="P184" s="30" t="str">
        <x:v>不限</x:v>
      </x:c>
      <x:c r="Q184" s="30" t="str">
        <x:v>否</x:v>
      </x:c>
      <x:c r="R184" s="30" t="n">
        <x:v>10</x:v>
      </x:c>
      <x:c r="S184" s="30" t="str">
        <x:v>freedom</x:v>
      </x:c>
      <x:c r="T184" s="30" t="str">
        <x:v>wanderer</x:v>
      </x:c>
      <x:c r="U184" s="30" t="n">
        <x:v>3</x:v>
      </x:c>
      <x:c r="V184" s="36" t="str">
        <x:f>A184&amp;".wav"</x:f>
        <x:v>ION_SHEN_FAREWELL.wav</x:v>
      </x:c>
      <x:c r="W184" s="36" t="str">
        <x:v>待审核</x:v>
      </x:c>
      <x:c r="X184" s="36" t="str"/>
      <x:c r="Y184" s="36" t="str">
        <x:v>https://universe.leagueoflegends.com/en_US/champion/shen/</x:v>
      </x:c>
    </x:row>
    <x:row r="185" ht="68" customHeight="1">
      <x:c r="A185" s="24" t="str">
        <x:v>ION_SYNDRA_MEET</x:v>
      </x:c>
      <x:c r="B185" s="24" t="str">
        <x:v>syndra</x:v>
      </x:c>
      <x:c r="C185" s="24" t="str">
        <x:v>辛德拉</x:v>
      </x:c>
      <x:c r="D185" s="24" t="str">
        <x:v>MEET</x:v>
      </x:c>
      <x:c r="E185" s="24" t="str">
        <x:v>初次相遇</x:v>
      </x:c>
      <x:c r="F185" s="24" t="str">
        <x:v>玩家第一次接近角色</x:v>
      </x:c>
      <x:c r="G185" s="24" t="str">
        <x:v>玩家</x:v>
      </x:c>
      <x:c r="H185" s="24" t="str">
        <x:v>审视</x:v>
      </x:c>
      <x:c r="I185" s="24" t="str">
        <x:v>中性</x:v>
      </x:c>
      <x:c r="J185" s="24" t="n">
        <x:v>2</x:v>
      </x:c>
      <x:c r="K185" s="30" t="str">
        <x:v>又一个带着问题的人。先证明你不会把答案变成锁链。</x:v>
      </x:c>
      <x:c r="L185" s="30" t="str">
        <x:v>保持强硬、凝缩、带压迫性的意象；避免单一疯癫女巫腔</x:v>
      </x:c>
      <x:c r="M185" s="30" t="n">
        <x:v>4</x:v>
      </x:c>
      <x:c r="N185" s="30" t="n">
        <x:v>0</x:v>
      </x:c>
      <x:c r="O185" s="30" t="str">
        <x:v>不限</x:v>
      </x:c>
      <x:c r="P185" s="30" t="str">
        <x:v>不限</x:v>
      </x:c>
      <x:c r="Q185" s="30" t="str">
        <x:v>是</x:v>
      </x:c>
      <x:c r="R185" s="30" t="n">
        <x:v>10</x:v>
      </x:c>
      <x:c r="S185" s="30" t="str">
        <x:v>destiny</x:v>
      </x:c>
      <x:c r="T185" s="30" t="str">
        <x:v>breaker</x:v>
      </x:c>
      <x:c r="U185" s="30" t="n">
        <x:v>0</x:v>
      </x:c>
      <x:c r="V185" s="36" t="str">
        <x:f>A185&amp;".wav"</x:f>
        <x:v>ION_SYNDRA_MEET.wav</x:v>
      </x:c>
      <x:c r="W185" s="36" t="str">
        <x:v>待审核</x:v>
      </x:c>
      <x:c r="X185" s="36" t="str"/>
      <x:c r="Y185" s="36" t="str">
        <x:v>https://universe.leagueoflegends.com/en_US/story/champion/syndra</x:v>
      </x:c>
    </x:row>
    <x:row r="186" ht="68" customHeight="1">
      <x:c r="A186" s="24" t="str">
        <x:v>ION_SYNDRA_GREET</x:v>
      </x:c>
      <x:c r="B186" s="24" t="str">
        <x:v>syndra</x:v>
      </x:c>
      <x:c r="C186" s="24" t="str">
        <x:v>辛德拉</x:v>
      </x:c>
      <x:c r="D186" s="24" t="str">
        <x:v>GREET</x:v>
      </x:c>
      <x:c r="E186" s="24" t="str">
        <x:v>友好问候</x:v>
      </x:c>
      <x:c r="F186" s="24" t="str">
        <x:v>关系值达到友好后进入对话</x:v>
      </x:c>
      <x:c r="G186" s="24" t="str">
        <x:v>玩家</x:v>
      </x:c>
      <x:c r="H186" s="24" t="str">
        <x:v>友善</x:v>
      </x:c>
      <x:c r="I186" s="24" t="str">
        <x:v>喜悦</x:v>
      </x:c>
      <x:c r="J186" s="24" t="n">
        <x:v>2</x:v>
      </x:c>
      <x:c r="K186" s="30" t="str">
        <x:v>你没有试图教我控制自己。至少这让谈话可以继续。</x:v>
      </x:c>
      <x:c r="L186" s="30" t="str">
        <x:v>保持强硬、凝缩、带压迫性的意象；避免单一疯癫女巫腔</x:v>
      </x:c>
      <x:c r="M186" s="30" t="n">
        <x:v>3</x:v>
      </x:c>
      <x:c r="N186" s="30" t="n">
        <x:v>10</x:v>
      </x:c>
      <x:c r="O186" s="30" t="str">
        <x:v>不限</x:v>
      </x:c>
      <x:c r="P186" s="30" t="str">
        <x:v>不限</x:v>
      </x:c>
      <x:c r="Q186" s="30" t="str">
        <x:v>否</x:v>
      </x:c>
      <x:c r="R186" s="30" t="n">
        <x:v>10</x:v>
      </x:c>
      <x:c r="S186" s="30" t="str">
        <x:v>peace</x:v>
      </x:c>
      <x:c r="T186" s="30" t="str">
        <x:v>guardian</x:v>
      </x:c>
      <x:c r="U186" s="30" t="n">
        <x:v>3</x:v>
      </x:c>
      <x:c r="V186" s="36" t="str">
        <x:f>A186&amp;".wav"</x:f>
        <x:v>ION_SYNDRA_GREET.wav</x:v>
      </x:c>
      <x:c r="W186" s="36" t="str">
        <x:v>待审核</x:v>
      </x:c>
      <x:c r="X186" s="36" t="str"/>
      <x:c r="Y186" s="36" t="str">
        <x:v>https://universe.leagueoflegends.com/en_US/story/champion/syndra</x:v>
      </x:c>
    </x:row>
    <x:row r="187" ht="68" customHeight="1">
      <x:c r="A187" s="24" t="str">
        <x:v>ION_SYNDRA_WARN</x:v>
      </x:c>
      <x:c r="B187" s="24" t="str">
        <x:v>syndra</x:v>
      </x:c>
      <x:c r="C187" s="24" t="str">
        <x:v>辛德拉</x:v>
      </x:c>
      <x:c r="D187" s="24" t="str">
        <x:v>WARN</x:v>
      </x:c>
      <x:c r="E187" s="24" t="str">
        <x:v>危险警告</x:v>
      </x:c>
      <x:c r="F187" s="24" t="str">
        <x:v>区域威胁或伏击即将发生</x:v>
      </x:c>
      <x:c r="G187" s="24" t="str">
        <x:v>玩家</x:v>
      </x:c>
      <x:c r="H187" s="24" t="str">
        <x:v>紧张</x:v>
      </x:c>
      <x:c r="I187" s="24" t="str">
        <x:v>警觉</x:v>
      </x:c>
      <x:c r="J187" s="24" t="n">
        <x:v>3</x:v>
      </x:c>
      <x:c r="K187" s="30" t="str">
        <x:v>这片土地在压低声音。有人正用与他们相同的手段束缚力量。</x:v>
      </x:c>
      <x:c r="L187" s="30" t="str">
        <x:v>保持强硬、凝缩、带压迫性的意象；避免单一疯癫女巫腔</x:v>
      </x:c>
      <x:c r="M187" s="30" t="n">
        <x:v>3</x:v>
      </x:c>
      <x:c r="N187" s="30" t="n">
        <x:v>0</x:v>
      </x:c>
      <x:c r="O187" s="30" t="str">
        <x:v>不限</x:v>
      </x:c>
      <x:c r="P187" s="30" t="str">
        <x:v>不限</x:v>
      </x:c>
      <x:c r="Q187" s="30" t="str">
        <x:v>否</x:v>
      </x:c>
      <x:c r="R187" s="30" t="n">
        <x:v>10</x:v>
      </x:c>
      <x:c r="S187" s="30" t="str">
        <x:v>destiny</x:v>
      </x:c>
      <x:c r="T187" s="30" t="str">
        <x:v>breaker</x:v>
      </x:c>
      <x:c r="U187" s="30" t="n">
        <x:v>3</x:v>
      </x:c>
      <x:c r="V187" s="36" t="str">
        <x:f>A187&amp;".wav"</x:f>
        <x:v>ION_SYNDRA_WARN.wav</x:v>
      </x:c>
      <x:c r="W187" s="36" t="str">
        <x:v>待审核</x:v>
      </x:c>
      <x:c r="X187" s="36" t="str"/>
      <x:c r="Y187" s="36" t="str">
        <x:v>https://universe.leagueoflegends.com/en_US/story/champion/syndra</x:v>
      </x:c>
    </x:row>
    <x:row r="188" ht="68" customHeight="1">
      <x:c r="A188" s="24" t="str">
        <x:v>ION_SYNDRA_REFUSE</x:v>
      </x:c>
      <x:c r="B188" s="24" t="str">
        <x:v>syndra</x:v>
      </x:c>
      <x:c r="C188" s="24" t="str">
        <x:v>辛德拉</x:v>
      </x:c>
      <x:c r="D188" s="24" t="str">
        <x:v>REFUSE</x:v>
      </x:c>
      <x:c r="E188" s="24" t="str">
        <x:v>拒绝请求</x:v>
      </x:c>
      <x:c r="F188" s="24" t="str">
        <x:v>玩家请求触碰角色底线</x:v>
      </x:c>
      <x:c r="G188" s="24" t="str">
        <x:v>玩家</x:v>
      </x:c>
      <x:c r="H188" s="24" t="str">
        <x:v>拒绝</x:v>
      </x:c>
      <x:c r="I188" s="24" t="str">
        <x:v>厌恶</x:v>
      </x:c>
      <x:c r="J188" s="24" t="n">
        <x:v>3</x:v>
      </x:c>
      <x:c r="K188" s="30" t="str">
        <x:v>不。我不会为了让你安心，再次把自己缩回别人允许的范围。</x:v>
      </x:c>
      <x:c r="L188" s="30" t="str">
        <x:v>保持强硬、凝缩、带压迫性的意象；避免单一疯癫女巫腔</x:v>
      </x:c>
      <x:c r="M188" s="30" t="n">
        <x:v>4</x:v>
      </x:c>
      <x:c r="N188" s="30" t="n">
        <x:v>-20</x:v>
      </x:c>
      <x:c r="O188" s="30" t="str">
        <x:v>不限</x:v>
      </x:c>
      <x:c r="P188" s="30" t="str">
        <x:v>不限</x:v>
      </x:c>
      <x:c r="Q188" s="30" t="str">
        <x:v>否</x:v>
      </x:c>
      <x:c r="R188" s="30" t="n">
        <x:v>10</x:v>
      </x:c>
      <x:c r="S188" s="30" t="str">
        <x:v>freedom</x:v>
      </x:c>
      <x:c r="T188" s="30" t="str">
        <x:v>wanderer</x:v>
      </x:c>
      <x:c r="U188" s="30" t="n">
        <x:v>3</x:v>
      </x:c>
      <x:c r="V188" s="36" t="str">
        <x:f>A188&amp;".wav"</x:f>
        <x:v>ION_SYNDRA_REFUSE.wav</x:v>
      </x:c>
      <x:c r="W188" s="36" t="str">
        <x:v>待审核</x:v>
      </x:c>
      <x:c r="X188" s="36" t="str"/>
      <x:c r="Y188" s="36" t="str">
        <x:v>https://universe.leagueoflegends.com/en_US/story/champion/syndra</x:v>
      </x:c>
    </x:row>
    <x:row r="189" ht="68" customHeight="1">
      <x:c r="A189" s="24" t="str">
        <x:v>ION_SYNDRA_TRUST</x:v>
      </x:c>
      <x:c r="B189" s="24" t="str">
        <x:v>syndra</x:v>
      </x:c>
      <x:c r="C189" s="24" t="str">
        <x:v>辛德拉</x:v>
      </x:c>
      <x:c r="D189" s="24" t="str">
        <x:v>TRUST</x:v>
      </x:c>
      <x:c r="E189" s="24" t="str">
        <x:v>建立信任</x:v>
      </x:c>
      <x:c r="F189" s="24" t="str">
        <x:v>玩家满足角色的信任条件</x:v>
      </x:c>
      <x:c r="G189" s="24" t="str">
        <x:v>玩家</x:v>
      </x:c>
      <x:c r="H189" s="24" t="str">
        <x:v>信任</x:v>
      </x:c>
      <x:c r="I189" s="24" t="str">
        <x:v>柔和</x:v>
      </x:c>
      <x:c r="J189" s="24" t="n">
        <x:v>3</x:v>
      </x:c>
      <x:c r="K189" s="30" t="str">
        <x:v>站在我力量之内，而不是站在我之上。这样我们可以合作。</x:v>
      </x:c>
      <x:c r="L189" s="30" t="str">
        <x:v>保持强硬、凝缩、带压迫性的意象；避免单一疯癫女巫腔</x:v>
      </x:c>
      <x:c r="M189" s="30" t="n">
        <x:v>5</x:v>
      </x:c>
      <x:c r="N189" s="30" t="n">
        <x:v>40</x:v>
      </x:c>
      <x:c r="O189" s="30" t="str">
        <x:v>不限</x:v>
      </x:c>
      <x:c r="P189" s="30" t="str">
        <x:v>不限</x:v>
      </x:c>
      <x:c r="Q189" s="30" t="str">
        <x:v>是</x:v>
      </x:c>
      <x:c r="R189" s="30" t="n">
        <x:v>10</x:v>
      </x:c>
      <x:c r="S189" s="30" t="str">
        <x:v>peace</x:v>
      </x:c>
      <x:c r="T189" s="30" t="str">
        <x:v>guardian</x:v>
      </x:c>
      <x:c r="U189" s="30" t="n">
        <x:v>0</x:v>
      </x:c>
      <x:c r="V189" s="36" t="str">
        <x:f>A189&amp;".wav"</x:f>
        <x:v>ION_SYNDRA_TRUST.wav</x:v>
      </x:c>
      <x:c r="W189" s="36" t="str">
        <x:v>待审核</x:v>
      </x:c>
      <x:c r="X189" s="36" t="str"/>
      <x:c r="Y189" s="36" t="str">
        <x:v>https://universe.leagueoflegends.com/en_US/story/champion/syndra</x:v>
      </x:c>
    </x:row>
    <x:row r="190" ht="68" customHeight="1">
      <x:c r="A190" s="24" t="str">
        <x:v>ION_SYNDRA_ANGER</x:v>
      </x:c>
      <x:c r="B190" s="24" t="str">
        <x:v>syndra</x:v>
      </x:c>
      <x:c r="C190" s="24" t="str">
        <x:v>辛德拉</x:v>
      </x:c>
      <x:c r="D190" s="24" t="str">
        <x:v>ANGER</x:v>
      </x:c>
      <x:c r="E190" s="24" t="str">
        <x:v>被激怒</x:v>
      </x:c>
      <x:c r="F190" s="24" t="str">
        <x:v>玩家触发角色主要怒点</x:v>
      </x:c>
      <x:c r="G190" s="24" t="str">
        <x:v>玩家</x:v>
      </x:c>
      <x:c r="H190" s="24" t="str">
        <x:v>愤怒</x:v>
      </x:c>
      <x:c r="I190" s="24" t="str">
        <x:v>受伤</x:v>
      </x:c>
      <x:c r="J190" s="24" t="n">
        <x:v>4</x:v>
      </x:c>
      <x:c r="K190" s="30" t="str">
        <x:v>以保护为名的牢笼，我已经见得够多了。</x:v>
      </x:c>
      <x:c r="L190" s="30" t="str">
        <x:v>保持强硬、凝缩、带压迫性的意象；避免单一疯癫女巫腔</x:v>
      </x:c>
      <x:c r="M190" s="30" t="n">
        <x:v>4</x:v>
      </x:c>
      <x:c r="N190" s="30" t="n">
        <x:v>-20</x:v>
      </x:c>
      <x:c r="O190" s="30" t="str">
        <x:v>不限</x:v>
      </x:c>
      <x:c r="P190" s="30" t="str">
        <x:v>不限</x:v>
      </x:c>
      <x:c r="Q190" s="30" t="str">
        <x:v>否</x:v>
      </x:c>
      <x:c r="R190" s="30" t="n">
        <x:v>10</x:v>
      </x:c>
      <x:c r="S190" s="30" t="str">
        <x:v>power</x:v>
      </x:c>
      <x:c r="T190" s="30" t="str">
        <x:v>strong</x:v>
      </x:c>
      <x:c r="U190" s="30" t="n">
        <x:v>3</x:v>
      </x:c>
      <x:c r="V190" s="36" t="str">
        <x:f>A190&amp;".wav"</x:f>
        <x:v>ION_SYNDRA_ANGER.wav</x:v>
      </x:c>
      <x:c r="W190" s="36" t="str">
        <x:v>待审核</x:v>
      </x:c>
      <x:c r="X190" s="36" t="str"/>
      <x:c r="Y190" s="36" t="str">
        <x:v>https://universe.leagueoflegends.com/en_US/story/champion/syndra</x:v>
      </x:c>
    </x:row>
    <x:row r="191" ht="68" customHeight="1">
      <x:c r="A191" s="24" t="str">
        <x:v>ION_SYNDRA_HURT</x:v>
      </x:c>
      <x:c r="B191" s="24" t="str">
        <x:v>syndra</x:v>
      </x:c>
      <x:c r="C191" s="24" t="str">
        <x:v>辛德拉</x:v>
      </x:c>
      <x:c r="D191" s="24" t="str">
        <x:v>HURT</x:v>
      </x:c>
      <x:c r="E191" s="24" t="str">
        <x:v>受伤反馈</x:v>
      </x:c>
      <x:c r="F191" s="24" t="str">
        <x:v>角色受到重击但仍可行动</x:v>
      </x:c>
      <x:c r="G191" s="24" t="str">
        <x:v>玩家</x:v>
      </x:c>
      <x:c r="H191" s="24" t="str">
        <x:v>痛苦</x:v>
      </x:c>
      <x:c r="I191" s="24" t="str">
        <x:v>坚持</x:v>
      </x:c>
      <x:c r="J191" s="24" t="n">
        <x:v>4</x:v>
      </x:c>
      <x:c r="K191" s="30" t="str">
        <x:v>疼痛不能证明谁拥有我。它只证明有人做了错误的尝试。</x:v>
      </x:c>
      <x:c r="L191" s="30" t="str">
        <x:v>保持强硬、凝缩、带压迫性的意象；避免单一疯癫女巫腔</x:v>
      </x:c>
      <x:c r="M191" s="30" t="n">
        <x:v>2</x:v>
      </x:c>
      <x:c r="N191" s="30" t="n">
        <x:v>0</x:v>
      </x:c>
      <x:c r="O191" s="30" t="str">
        <x:v>不限</x:v>
      </x:c>
      <x:c r="P191" s="30" t="str">
        <x:v>不限</x:v>
      </x:c>
      <x:c r="Q191" s="30" t="str">
        <x:v>否</x:v>
      </x:c>
      <x:c r="R191" s="30" t="n">
        <x:v>10</x:v>
      </x:c>
      <x:c r="S191" s="30" t="str">
        <x:v>peace</x:v>
      </x:c>
      <x:c r="T191" s="30" t="str">
        <x:v>guardian</x:v>
      </x:c>
      <x:c r="U191" s="30" t="n">
        <x:v>3</x:v>
      </x:c>
      <x:c r="V191" s="36" t="str">
        <x:f>A191&amp;".wav"</x:f>
        <x:v>ION_SYNDRA_HURT.wav</x:v>
      </x:c>
      <x:c r="W191" s="36" t="str">
        <x:v>待审核</x:v>
      </x:c>
      <x:c r="X191" s="36" t="str"/>
      <x:c r="Y191" s="36" t="str">
        <x:v>https://universe.leagueoflegends.com/en_US/story/champion/syndra</x:v>
      </x:c>
    </x:row>
    <x:row r="192" ht="68" customHeight="1">
      <x:c r="A192" s="24" t="str">
        <x:v>ION_SYNDRA_COMBAT</x:v>
      </x:c>
      <x:c r="B192" s="24" t="str">
        <x:v>syndra</x:v>
      </x:c>
      <x:c r="C192" s="24" t="str">
        <x:v>辛德拉</x:v>
      </x:c>
      <x:c r="D192" s="24" t="str">
        <x:v>COMBAT</x:v>
      </x:c>
      <x:c r="E192" s="24" t="str">
        <x:v>战斗行动</x:v>
      </x:c>
      <x:c r="F192" s="24" t="str">
        <x:v>角色发动标志性行动</x:v>
      </x:c>
      <x:c r="G192" s="24" t="str">
        <x:v>玩家</x:v>
      </x:c>
      <x:c r="H192" s="24" t="str">
        <x:v>战意</x:v>
      </x:c>
      <x:c r="I192" s="24" t="str">
        <x:v>专注</x:v>
      </x:c>
      <x:c r="J192" s="24" t="n">
        <x:v>4</x:v>
      </x:c>
      <x:c r="K192" s="30" t="str">
        <x:v>抬头。你们依赖的大地，已经不再站在你们那边。</x:v>
      </x:c>
      <x:c r="L192" s="30" t="str">
        <x:v>保持强硬、凝缩、带压迫性的意象；避免单一疯癫女巫腔</x:v>
      </x:c>
      <x:c r="M192" s="30" t="n">
        <x:v>2</x:v>
      </x:c>
      <x:c r="N192" s="30" t="n">
        <x:v>0</x:v>
      </x:c>
      <x:c r="O192" s="30" t="str">
        <x:v>不限</x:v>
      </x:c>
      <x:c r="P192" s="30" t="str">
        <x:v>不限</x:v>
      </x:c>
      <x:c r="Q192" s="30" t="str">
        <x:v>否</x:v>
      </x:c>
      <x:c r="R192" s="30" t="n">
        <x:v>10</x:v>
      </x:c>
      <x:c r="S192" s="30" t="str">
        <x:v>power</x:v>
      </x:c>
      <x:c r="T192" s="30" t="str">
        <x:v>strong</x:v>
      </x:c>
      <x:c r="U192" s="30" t="n">
        <x:v>3</x:v>
      </x:c>
      <x:c r="V192" s="36" t="str">
        <x:f>A192&amp;".wav"</x:f>
        <x:v>ION_SYNDRA_COMBAT.wav</x:v>
      </x:c>
      <x:c r="W192" s="36" t="str">
        <x:v>待审核</x:v>
      </x:c>
      <x:c r="X192" s="36" t="str"/>
      <x:c r="Y192" s="36" t="str">
        <x:v>https://universe.leagueoflegends.com/en_US/story/champion/syndra</x:v>
      </x:c>
    </x:row>
    <x:row r="193" ht="68" customHeight="1">
      <x:c r="A193" s="24" t="str">
        <x:v>ION_SYNDRA_VICTORY</x:v>
      </x:c>
      <x:c r="B193" s="24" t="str">
        <x:v>syndra</x:v>
      </x:c>
      <x:c r="C193" s="24" t="str">
        <x:v>辛德拉</x:v>
      </x:c>
      <x:c r="D193" s="24" t="str">
        <x:v>VICTORY</x:v>
      </x:c>
      <x:c r="E193" s="24" t="str">
        <x:v>战斗胜利</x:v>
      </x:c>
      <x:c r="F193" s="24" t="str">
        <x:v>威胁解除并进入结算</x:v>
      </x:c>
      <x:c r="G193" s="24" t="str">
        <x:v>玩家</x:v>
      </x:c>
      <x:c r="H193" s="24" t="str">
        <x:v>释然</x:v>
      </x:c>
      <x:c r="I193" s="24" t="str">
        <x:v>克制喜悦</x:v>
      </x:c>
      <x:c r="J193" s="24" t="n">
        <x:v>3</x:v>
      </x:c>
      <x:c r="K193" s="30" t="str">
        <x:v>他们终于明白，力量不需要向恐惧请求存在。</x:v>
      </x:c>
      <x:c r="L193" s="30" t="str">
        <x:v>保持强硬、凝缩、带压迫性的意象；避免单一疯癫女巫腔</x:v>
      </x:c>
      <x:c r="M193" s="30" t="n">
        <x:v>4</x:v>
      </x:c>
      <x:c r="N193" s="30" t="n">
        <x:v>0</x:v>
      </x:c>
      <x:c r="O193" s="30" t="str">
        <x:v>不限</x:v>
      </x:c>
      <x:c r="P193" s="30" t="str">
        <x:v>不限</x:v>
      </x:c>
      <x:c r="Q193" s="30" t="str">
        <x:v>否</x:v>
      </x:c>
      <x:c r="R193" s="30" t="n">
        <x:v>10</x:v>
      </x:c>
      <x:c r="S193" s="30" t="str">
        <x:v>destiny</x:v>
      </x:c>
      <x:c r="T193" s="30" t="str">
        <x:v>breaker</x:v>
      </x:c>
      <x:c r="U193" s="30" t="n">
        <x:v>3</x:v>
      </x:c>
      <x:c r="V193" s="36" t="str">
        <x:f>A193&amp;".wav"</x:f>
        <x:v>ION_SYNDRA_VICTORY.wav</x:v>
      </x:c>
      <x:c r="W193" s="36" t="str">
        <x:v>待审核</x:v>
      </x:c>
      <x:c r="X193" s="36" t="str"/>
      <x:c r="Y193" s="36" t="str">
        <x:v>https://universe.leagueoflegends.com/en_US/story/champion/syndra</x:v>
      </x:c>
    </x:row>
    <x:row r="194" ht="68" customHeight="1">
      <x:c r="A194" s="24" t="str">
        <x:v>ION_SYNDRA_DEFEAT</x:v>
      </x:c>
      <x:c r="B194" s="24" t="str">
        <x:v>syndra</x:v>
      </x:c>
      <x:c r="C194" s="24" t="str">
        <x:v>辛德拉</x:v>
      </x:c>
      <x:c r="D194" s="24" t="str">
        <x:v>DEFEAT</x:v>
      </x:c>
      <x:c r="E194" s="24" t="str">
        <x:v>失败撤退</x:v>
      </x:c>
      <x:c r="F194" s="24" t="str">
        <x:v>角色被迫撤离或计划失败</x:v>
      </x:c>
      <x:c r="G194" s="24" t="str">
        <x:v>玩家</x:v>
      </x:c>
      <x:c r="H194" s="24" t="str">
        <x:v>挫败</x:v>
      </x:c>
      <x:c r="I194" s="24" t="str">
        <x:v>反思</x:v>
      </x:c>
      <x:c r="J194" s="24" t="n">
        <x:v>4</x:v>
      </x:c>
      <x:c r="K194" s="30" t="str">
        <x:v>暂时离开。我拒绝在他们设计的战场上耗尽自己。</x:v>
      </x:c>
      <x:c r="L194" s="30" t="str">
        <x:v>保持强硬、凝缩、带压迫性的意象；避免单一疯癫女巫腔</x:v>
      </x:c>
      <x:c r="M194" s="30" t="n">
        <x:v>5</x:v>
      </x:c>
      <x:c r="N194" s="30" t="n">
        <x:v>0</x:v>
      </x:c>
      <x:c r="O194" s="30" t="str">
        <x:v>不限</x:v>
      </x:c>
      <x:c r="P194" s="30" t="str">
        <x:v>不限</x:v>
      </x:c>
      <x:c r="Q194" s="30" t="str">
        <x:v>否</x:v>
      </x:c>
      <x:c r="R194" s="30" t="n">
        <x:v>10</x:v>
      </x:c>
      <x:c r="S194" s="30" t="str">
        <x:v>spirit</x:v>
      </x:c>
      <x:c r="T194" s="30" t="str">
        <x:v>spirit_fate</x:v>
      </x:c>
      <x:c r="U194" s="30" t="n">
        <x:v>3</x:v>
      </x:c>
      <x:c r="V194" s="36" t="str">
        <x:f>A194&amp;".wav"</x:f>
        <x:v>ION_SYNDRA_DEFEAT.wav</x:v>
      </x:c>
      <x:c r="W194" s="36" t="str">
        <x:v>待审核</x:v>
      </x:c>
      <x:c r="X194" s="36" t="str"/>
      <x:c r="Y194" s="36" t="str">
        <x:v>https://universe.leagueoflegends.com/en_US/story/champion/syndra</x:v>
      </x:c>
    </x:row>
    <x:row r="195" ht="68" customHeight="1">
      <x:c r="A195" s="24" t="str">
        <x:v>ION_SYNDRA_LORE</x:v>
      </x:c>
      <x:c r="B195" s="24" t="str">
        <x:v>syndra</x:v>
      </x:c>
      <x:c r="C195" s="24" t="str">
        <x:v>辛德拉</x:v>
      </x:c>
      <x:c r="D195" s="24" t="str">
        <x:v>LORE</x:v>
      </x:c>
      <x:c r="E195" s="24" t="str">
        <x:v>世界观讲述</x:v>
      </x:c>
      <x:c r="F195" s="24" t="str">
        <x:v>玩家询问人物、地点或往事</x:v>
      </x:c>
      <x:c r="G195" s="24" t="str">
        <x:v>玩家</x:v>
      </x:c>
      <x:c r="H195" s="24" t="str">
        <x:v>叙述</x:v>
      </x:c>
      <x:c r="I195" s="24" t="str">
        <x:v>怀念</x:v>
      </x:c>
      <x:c r="J195" s="24" t="n">
        <x:v>2</x:v>
      </x:c>
      <x:c r="K195" s="30" t="str">
        <x:v>人们害怕的从来不是失控的魔法，而是不再服从他们的魔法。</x:v>
      </x:c>
      <x:c r="L195" s="30" t="str">
        <x:v>保持强硬、凝缩、带压迫性的意象；避免单一疯癫女巫腔</x:v>
      </x:c>
      <x:c r="M195" s="30" t="n">
        <x:v>8</x:v>
      </x:c>
      <x:c r="N195" s="30" t="n">
        <x:v>0</x:v>
      </x:c>
      <x:c r="O195" s="30" t="str">
        <x:v>不限</x:v>
      </x:c>
      <x:c r="P195" s="30" t="str">
        <x:v>不限</x:v>
      </x:c>
      <x:c r="Q195" s="30" t="str">
        <x:v>是</x:v>
      </x:c>
      <x:c r="R195" s="30" t="n">
        <x:v>10</x:v>
      </x:c>
      <x:c r="S195" s="30" t="str">
        <x:v>spirit</x:v>
      </x:c>
      <x:c r="T195" s="30" t="str">
        <x:v>spirit_fate</x:v>
      </x:c>
      <x:c r="U195" s="30" t="n">
        <x:v>0</x:v>
      </x:c>
      <x:c r="V195" s="36" t="str">
        <x:f>A195&amp;".wav"</x:f>
        <x:v>ION_SYNDRA_LORE.wav</x:v>
      </x:c>
      <x:c r="W195" s="36" t="str">
        <x:v>待审核</x:v>
      </x:c>
      <x:c r="X195" s="36" t="str"/>
      <x:c r="Y195" s="36" t="str">
        <x:v>https://universe.leagueoflegends.com/en_US/story/champion/syndra</x:v>
      </x:c>
    </x:row>
    <x:row r="196" ht="68" customHeight="1">
      <x:c r="A196" s="24" t="str">
        <x:v>ION_SYNDRA_FAREWELL</x:v>
      </x:c>
      <x:c r="B196" s="24" t="str">
        <x:v>syndra</x:v>
      </x:c>
      <x:c r="C196" s="24" t="str">
        <x:v>辛德拉</x:v>
      </x:c>
      <x:c r="D196" s="24" t="str">
        <x:v>FAREWELL</x:v>
      </x:c>
      <x:c r="E196" s="24" t="str">
        <x:v>阶段告别</x:v>
      </x:c>
      <x:c r="F196" s="24" t="str">
        <x:v>事件结束或角色离开队伍</x:v>
      </x:c>
      <x:c r="G196" s="24" t="str">
        <x:v>玩家</x:v>
      </x:c>
      <x:c r="H196" s="24" t="str">
        <x:v>告别</x:v>
      </x:c>
      <x:c r="I196" s="24" t="str">
        <x:v>复杂</x:v>
      </x:c>
      <x:c r="J196" s="24" t="n">
        <x:v>3</x:v>
      </x:c>
      <x:c r="K196" s="30" t="str">
        <x:v>我会去一个没有人敢替我划定天空的地方。</x:v>
      </x:c>
      <x:c r="L196" s="30" t="str">
        <x:v>保持强硬、凝缩、带压迫性的意象；避免单一疯癫女巫腔</x:v>
      </x:c>
      <x:c r="M196" s="30" t="n">
        <x:v>5</x:v>
      </x:c>
      <x:c r="N196" s="30" t="n">
        <x:v>0</x:v>
      </x:c>
      <x:c r="O196" s="30" t="str">
        <x:v>不限</x:v>
      </x:c>
      <x:c r="P196" s="30" t="str">
        <x:v>不限</x:v>
      </x:c>
      <x:c r="Q196" s="30" t="str">
        <x:v>否</x:v>
      </x:c>
      <x:c r="R196" s="30" t="n">
        <x:v>10</x:v>
      </x:c>
      <x:c r="S196" s="30" t="str">
        <x:v>freedom</x:v>
      </x:c>
      <x:c r="T196" s="30" t="str">
        <x:v>wanderer</x:v>
      </x:c>
      <x:c r="U196" s="30" t="n">
        <x:v>3</x:v>
      </x:c>
      <x:c r="V196" s="36" t="str">
        <x:f>A196&amp;".wav"</x:f>
        <x:v>ION_SYNDRA_FAREWELL.wav</x:v>
      </x:c>
      <x:c r="W196" s="36" t="str">
        <x:v>待审核</x:v>
      </x:c>
      <x:c r="X196" s="36" t="str"/>
      <x:c r="Y196" s="36" t="str">
        <x:v>https://universe.leagueoflegends.com/en_US/story/champion/syndra</x:v>
      </x:c>
    </x:row>
    <x:row r="197" ht="68" customHeight="1">
      <x:c r="A197" s="24" t="str">
        <x:v>ION_VARUS_MEET</x:v>
      </x:c>
      <x:c r="B197" s="24" t="str">
        <x:v>varus</x:v>
      </x:c>
      <x:c r="C197" s="24" t="str">
        <x:v>韦鲁斯</x:v>
      </x:c>
      <x:c r="D197" s="24" t="str">
        <x:v>MEET</x:v>
      </x:c>
      <x:c r="E197" s="24" t="str">
        <x:v>初次相遇</x:v>
      </x:c>
      <x:c r="F197" s="24" t="str">
        <x:v>玩家第一次接近角色</x:v>
      </x:c>
      <x:c r="G197" s="24" t="str">
        <x:v>玩家</x:v>
      </x:c>
      <x:c r="H197" s="24" t="str">
        <x:v>审视</x:v>
      </x:c>
      <x:c r="I197" s="24" t="str">
        <x:v>中性</x:v>
      </x:c>
      <x:c r="J197" s="24" t="n">
        <x:v>2</x:v>
      </x:c>
      <x:c r="K197" s="30" t="str">
        <x:v>你身上没有我要找的气息。最好一直如此。</x:v>
      </x:c>
      <x:c r="L197" s="30" t="str">
        <x:v>保持低沉、古老、偶有多重意识裂缝；不得用简单回声代替三重人格表演</x:v>
      </x:c>
      <x:c r="M197" s="30" t="n">
        <x:v>4</x:v>
      </x:c>
      <x:c r="N197" s="30" t="n">
        <x:v>0</x:v>
      </x:c>
      <x:c r="O197" s="30" t="str">
        <x:v>不限</x:v>
      </x:c>
      <x:c r="P197" s="30" t="str">
        <x:v>不限</x:v>
      </x:c>
      <x:c r="Q197" s="30" t="str">
        <x:v>是</x:v>
      </x:c>
      <x:c r="R197" s="30" t="n">
        <x:v>10</x:v>
      </x:c>
      <x:c r="S197" s="30" t="str">
        <x:v>destiny</x:v>
      </x:c>
      <x:c r="T197" s="30" t="str">
        <x:v>breaker</x:v>
      </x:c>
      <x:c r="U197" s="30" t="n">
        <x:v>0</x:v>
      </x:c>
      <x:c r="V197" s="36" t="str">
        <x:f>A197&amp;".wav"</x:f>
        <x:v>ION_VARUS_MEET.wav</x:v>
      </x:c>
      <x:c r="W197" s="36" t="str">
        <x:v>待审核</x:v>
      </x:c>
      <x:c r="X197" s="36" t="str"/>
      <x:c r="Y197" s="36" t="str">
        <x:v>https://universe.leagueoflegends.com/en_US/story/champion/varus/</x:v>
      </x:c>
    </x:row>
    <x:row r="198" ht="68" customHeight="1">
      <x:c r="A198" s="24" t="str">
        <x:v>ION_VARUS_GREET</x:v>
      </x:c>
      <x:c r="B198" s="24" t="str">
        <x:v>varus</x:v>
      </x:c>
      <x:c r="C198" s="24" t="str">
        <x:v>韦鲁斯</x:v>
      </x:c>
      <x:c r="D198" s="24" t="str">
        <x:v>GREET</x:v>
      </x:c>
      <x:c r="E198" s="24" t="str">
        <x:v>友好问候</x:v>
      </x:c>
      <x:c r="F198" s="24" t="str">
        <x:v>关系值达到友好后进入对话</x:v>
      </x:c>
      <x:c r="G198" s="24" t="str">
        <x:v>玩家</x:v>
      </x:c>
      <x:c r="H198" s="24" t="str">
        <x:v>友善</x:v>
      </x:c>
      <x:c r="I198" s="24" t="str">
        <x:v>喜悦</x:v>
      </x:c>
      <x:c r="J198" s="24" t="n">
        <x:v>2</x:v>
      </x:c>
      <x:c r="K198" s="30" t="str">
        <x:v>人类的坚持很短暂，但你比多数人维持得更久。</x:v>
      </x:c>
      <x:c r="L198" s="30" t="str">
        <x:v>保持低沉、古老、偶有多重意识裂缝；不得用简单回声代替三重人格表演</x:v>
      </x:c>
      <x:c r="M198" s="30" t="n">
        <x:v>3</x:v>
      </x:c>
      <x:c r="N198" s="30" t="n">
        <x:v>10</x:v>
      </x:c>
      <x:c r="O198" s="30" t="str">
        <x:v>不限</x:v>
      </x:c>
      <x:c r="P198" s="30" t="str">
        <x:v>不限</x:v>
      </x:c>
      <x:c r="Q198" s="30" t="str">
        <x:v>否</x:v>
      </x:c>
      <x:c r="R198" s="30" t="n">
        <x:v>10</x:v>
      </x:c>
      <x:c r="S198" s="30" t="str">
        <x:v>peace</x:v>
      </x:c>
      <x:c r="T198" s="30" t="str">
        <x:v>guardian</x:v>
      </x:c>
      <x:c r="U198" s="30" t="n">
        <x:v>3</x:v>
      </x:c>
      <x:c r="V198" s="36" t="str">
        <x:f>A198&amp;".wav"</x:f>
        <x:v>ION_VARUS_GREET.wav</x:v>
      </x:c>
      <x:c r="W198" s="36" t="str">
        <x:v>待审核</x:v>
      </x:c>
      <x:c r="X198" s="36" t="str"/>
      <x:c r="Y198" s="36" t="str">
        <x:v>https://universe.leagueoflegends.com/en_US/story/champion/varus/</x:v>
      </x:c>
    </x:row>
    <x:row r="199" ht="68" customHeight="1">
      <x:c r="A199" s="24" t="str">
        <x:v>ION_VARUS_WARN</x:v>
      </x:c>
      <x:c r="B199" s="24" t="str">
        <x:v>varus</x:v>
      </x:c>
      <x:c r="C199" s="24" t="str">
        <x:v>韦鲁斯</x:v>
      </x:c>
      <x:c r="D199" s="24" t="str">
        <x:v>WARN</x:v>
      </x:c>
      <x:c r="E199" s="24" t="str">
        <x:v>危险警告</x:v>
      </x:c>
      <x:c r="F199" s="24" t="str">
        <x:v>区域威胁或伏击即将发生</x:v>
      </x:c>
      <x:c r="G199" s="24" t="str">
        <x:v>玩家</x:v>
      </x:c>
      <x:c r="H199" s="24" t="str">
        <x:v>紧张</x:v>
      </x:c>
      <x:c r="I199" s="24" t="str">
        <x:v>警觉</x:v>
      </x:c>
      <x:c r="J199" s="24" t="n">
        <x:v>3</x:v>
      </x:c>
      <x:c r="K199" s="30" t="str">
        <x:v>血液在前方改变了流向。有伏击。</x:v>
      </x:c>
      <x:c r="L199" s="30" t="str">
        <x:v>保持低沉、古老、偶有多重意识裂缝；不得用简单回声代替三重人格表演</x:v>
      </x:c>
      <x:c r="M199" s="30" t="n">
        <x:v>3</x:v>
      </x:c>
      <x:c r="N199" s="30" t="n">
        <x:v>0</x:v>
      </x:c>
      <x:c r="O199" s="30" t="str">
        <x:v>不限</x:v>
      </x:c>
      <x:c r="P199" s="30" t="str">
        <x:v>不限</x:v>
      </x:c>
      <x:c r="Q199" s="30" t="str">
        <x:v>否</x:v>
      </x:c>
      <x:c r="R199" s="30" t="n">
        <x:v>10</x:v>
      </x:c>
      <x:c r="S199" s="30" t="str">
        <x:v>destiny</x:v>
      </x:c>
      <x:c r="T199" s="30" t="str">
        <x:v>breaker</x:v>
      </x:c>
      <x:c r="U199" s="30" t="n">
        <x:v>3</x:v>
      </x:c>
      <x:c r="V199" s="36" t="str">
        <x:f>A199&amp;".wav"</x:f>
        <x:v>ION_VARUS_WARN.wav</x:v>
      </x:c>
      <x:c r="W199" s="36" t="str">
        <x:v>待审核</x:v>
      </x:c>
      <x:c r="X199" s="36" t="str"/>
      <x:c r="Y199" s="36" t="str">
        <x:v>https://universe.leagueoflegends.com/en_US/story/champion/varus/</x:v>
      </x:c>
    </x:row>
    <x:row r="200" ht="68" customHeight="1">
      <x:c r="A200" s="24" t="str">
        <x:v>ION_VARUS_REFUSE</x:v>
      </x:c>
      <x:c r="B200" s="24" t="str">
        <x:v>varus</x:v>
      </x:c>
      <x:c r="C200" s="24" t="str">
        <x:v>韦鲁斯</x:v>
      </x:c>
      <x:c r="D200" s="24" t="str">
        <x:v>REFUSE</x:v>
      </x:c>
      <x:c r="E200" s="24" t="str">
        <x:v>拒绝请求</x:v>
      </x:c>
      <x:c r="F200" s="24" t="str">
        <x:v>玩家请求触碰角色底线</x:v>
      </x:c>
      <x:c r="G200" s="24" t="str">
        <x:v>玩家</x:v>
      </x:c>
      <x:c r="H200" s="24" t="str">
        <x:v>拒绝</x:v>
      </x:c>
      <x:c r="I200" s="24" t="str">
        <x:v>厌恶</x:v>
      </x:c>
      <x:c r="J200" s="24" t="n">
        <x:v>3</x:v>
      </x:c>
      <x:c r="K200" s="30" t="str">
        <x:v>你的怜悯对我的目标毫无价值。</x:v>
      </x:c>
      <x:c r="L200" s="30" t="str">
        <x:v>保持低沉、古老、偶有多重意识裂缝；不得用简单回声代替三重人格表演</x:v>
      </x:c>
      <x:c r="M200" s="30" t="n">
        <x:v>4</x:v>
      </x:c>
      <x:c r="N200" s="30" t="n">
        <x:v>-20</x:v>
      </x:c>
      <x:c r="O200" s="30" t="str">
        <x:v>不限</x:v>
      </x:c>
      <x:c r="P200" s="30" t="str">
        <x:v>不限</x:v>
      </x:c>
      <x:c r="Q200" s="30" t="str">
        <x:v>否</x:v>
      </x:c>
      <x:c r="R200" s="30" t="n">
        <x:v>10</x:v>
      </x:c>
      <x:c r="S200" s="30" t="str">
        <x:v>freedom</x:v>
      </x:c>
      <x:c r="T200" s="30" t="str">
        <x:v>wanderer</x:v>
      </x:c>
      <x:c r="U200" s="30" t="n">
        <x:v>3</x:v>
      </x:c>
      <x:c r="V200" s="36" t="str">
        <x:f>A200&amp;".wav"</x:f>
        <x:v>ION_VARUS_REFUSE.wav</x:v>
      </x:c>
      <x:c r="W200" s="36" t="str">
        <x:v>待审核</x:v>
      </x:c>
      <x:c r="X200" s="36" t="str"/>
      <x:c r="Y200" s="36" t="str">
        <x:v>https://universe.leagueoflegends.com/en_US/story/champion/varus/</x:v>
      </x:c>
    </x:row>
    <x:row r="201" ht="68" customHeight="1">
      <x:c r="A201" s="24" t="str">
        <x:v>ION_VARUS_TRUST</x:v>
      </x:c>
      <x:c r="B201" s="24" t="str">
        <x:v>varus</x:v>
      </x:c>
      <x:c r="C201" s="24" t="str">
        <x:v>韦鲁斯</x:v>
      </x:c>
      <x:c r="D201" s="24" t="str">
        <x:v>TRUST</x:v>
      </x:c>
      <x:c r="E201" s="24" t="str">
        <x:v>建立信任</x:v>
      </x:c>
      <x:c r="F201" s="24" t="str">
        <x:v>玩家满足角色的信任条件</x:v>
      </x:c>
      <x:c r="G201" s="24" t="str">
        <x:v>玩家</x:v>
      </x:c>
      <x:c r="H201" s="24" t="str">
        <x:v>信任</x:v>
      </x:c>
      <x:c r="I201" s="24" t="str">
        <x:v>柔和</x:v>
      </x:c>
      <x:c r="J201" s="24" t="n">
        <x:v>3</x:v>
      </x:c>
      <x:c r="K201" s="30" t="str">
        <x:v>我们暂时需要同一个结果。不要误解为宽恕。</x:v>
      </x:c>
      <x:c r="L201" s="30" t="str">
        <x:v>保持低沉、古老、偶有多重意识裂缝；不得用简单回声代替三重人格表演</x:v>
      </x:c>
      <x:c r="M201" s="30" t="n">
        <x:v>5</x:v>
      </x:c>
      <x:c r="N201" s="30" t="n">
        <x:v>40</x:v>
      </x:c>
      <x:c r="O201" s="30" t="str">
        <x:v>不限</x:v>
      </x:c>
      <x:c r="P201" s="30" t="str">
        <x:v>不限</x:v>
      </x:c>
      <x:c r="Q201" s="30" t="str">
        <x:v>是</x:v>
      </x:c>
      <x:c r="R201" s="30" t="n">
        <x:v>10</x:v>
      </x:c>
      <x:c r="S201" s="30" t="str">
        <x:v>peace</x:v>
      </x:c>
      <x:c r="T201" s="30" t="str">
        <x:v>guardian</x:v>
      </x:c>
      <x:c r="U201" s="30" t="n">
        <x:v>0</x:v>
      </x:c>
      <x:c r="V201" s="36" t="str">
        <x:f>A201&amp;".wav"</x:f>
        <x:v>ION_VARUS_TRUST.wav</x:v>
      </x:c>
      <x:c r="W201" s="36" t="str">
        <x:v>待审核</x:v>
      </x:c>
      <x:c r="X201" s="36" t="str"/>
      <x:c r="Y201" s="36" t="str">
        <x:v>https://universe.leagueoflegends.com/en_US/story/champion/varus/</x:v>
      </x:c>
    </x:row>
    <x:row r="202" ht="68" customHeight="1">
      <x:c r="A202" s="24" t="str">
        <x:v>ION_VARUS_ANGER</x:v>
      </x:c>
      <x:c r="B202" s="24" t="str">
        <x:v>varus</x:v>
      </x:c>
      <x:c r="C202" s="24" t="str">
        <x:v>韦鲁斯</x:v>
      </x:c>
      <x:c r="D202" s="24" t="str">
        <x:v>ANGER</x:v>
      </x:c>
      <x:c r="E202" s="24" t="str">
        <x:v>被激怒</x:v>
      </x:c>
      <x:c r="F202" s="24" t="str">
        <x:v>玩家触发角色主要怒点</x:v>
      </x:c>
      <x:c r="G202" s="24" t="str">
        <x:v>玩家</x:v>
      </x:c>
      <x:c r="H202" s="24" t="str">
        <x:v>愤怒</x:v>
      </x:c>
      <x:c r="I202" s="24" t="str">
        <x:v>受伤</x:v>
      </x:c>
      <x:c r="J202" s="24" t="n">
        <x:v>4</x:v>
      </x:c>
      <x:c r="K202" s="30" t="str">
        <x:v>别用他们的声音对我说话——他们已经在这具身体里说得够多。</x:v>
      </x:c>
      <x:c r="L202" s="30" t="str">
        <x:v>保持低沉、古老、偶有多重意识裂缝；不得用简单回声代替三重人格表演</x:v>
      </x:c>
      <x:c r="M202" s="30" t="n">
        <x:v>4</x:v>
      </x:c>
      <x:c r="N202" s="30" t="n">
        <x:v>-20</x:v>
      </x:c>
      <x:c r="O202" s="30" t="str">
        <x:v>不限</x:v>
      </x:c>
      <x:c r="P202" s="30" t="str">
        <x:v>不限</x:v>
      </x:c>
      <x:c r="Q202" s="30" t="str">
        <x:v>否</x:v>
      </x:c>
      <x:c r="R202" s="30" t="n">
        <x:v>10</x:v>
      </x:c>
      <x:c r="S202" s="30" t="str">
        <x:v>power</x:v>
      </x:c>
      <x:c r="T202" s="30" t="str">
        <x:v>strong</x:v>
      </x:c>
      <x:c r="U202" s="30" t="n">
        <x:v>3</x:v>
      </x:c>
      <x:c r="V202" s="36" t="str">
        <x:f>A202&amp;".wav"</x:f>
        <x:v>ION_VARUS_ANGER.wav</x:v>
      </x:c>
      <x:c r="W202" s="36" t="str">
        <x:v>待审核</x:v>
      </x:c>
      <x:c r="X202" s="36" t="str"/>
      <x:c r="Y202" s="36" t="str">
        <x:v>https://universe.leagueoflegends.com/en_US/story/champion/varus/</x:v>
      </x:c>
    </x:row>
    <x:row r="203" ht="68" customHeight="1">
      <x:c r="A203" s="24" t="str">
        <x:v>ION_VARUS_HURT</x:v>
      </x:c>
      <x:c r="B203" s="24" t="str">
        <x:v>varus</x:v>
      </x:c>
      <x:c r="C203" s="24" t="str">
        <x:v>韦鲁斯</x:v>
      </x:c>
      <x:c r="D203" s="24" t="str">
        <x:v>HURT</x:v>
      </x:c>
      <x:c r="E203" s="24" t="str">
        <x:v>受伤反馈</x:v>
      </x:c>
      <x:c r="F203" s="24" t="str">
        <x:v>角色受到重击但仍可行动</x:v>
      </x:c>
      <x:c r="G203" s="24" t="str">
        <x:v>玩家</x:v>
      </x:c>
      <x:c r="H203" s="24" t="str">
        <x:v>痛苦</x:v>
      </x:c>
      <x:c r="I203" s="24" t="str">
        <x:v>坚持</x:v>
      </x:c>
      <x:c r="J203" s="24" t="n">
        <x:v>4</x:v>
      </x:c>
      <x:c r="K203" s="30" t="str">
        <x:v>痛苦属于三个意志，却没有一个愿意倒下。</x:v>
      </x:c>
      <x:c r="L203" s="30" t="str">
        <x:v>保持低沉、古老、偶有多重意识裂缝；不得用简单回声代替三重人格表演</x:v>
      </x:c>
      <x:c r="M203" s="30" t="n">
        <x:v>2</x:v>
      </x:c>
      <x:c r="N203" s="30" t="n">
        <x:v>0</x:v>
      </x:c>
      <x:c r="O203" s="30" t="str">
        <x:v>不限</x:v>
      </x:c>
      <x:c r="P203" s="30" t="str">
        <x:v>不限</x:v>
      </x:c>
      <x:c r="Q203" s="30" t="str">
        <x:v>否</x:v>
      </x:c>
      <x:c r="R203" s="30" t="n">
        <x:v>10</x:v>
      </x:c>
      <x:c r="S203" s="30" t="str">
        <x:v>peace</x:v>
      </x:c>
      <x:c r="T203" s="30" t="str">
        <x:v>guardian</x:v>
      </x:c>
      <x:c r="U203" s="30" t="n">
        <x:v>3</x:v>
      </x:c>
      <x:c r="V203" s="36" t="str">
        <x:f>A203&amp;".wav"</x:f>
        <x:v>ION_VARUS_HURT.wav</x:v>
      </x:c>
      <x:c r="W203" s="36" t="str">
        <x:v>待审核</x:v>
      </x:c>
      <x:c r="X203" s="36" t="str"/>
      <x:c r="Y203" s="36" t="str">
        <x:v>https://universe.leagueoflegends.com/en_US/story/champion/varus/</x:v>
      </x:c>
    </x:row>
    <x:row r="204" ht="68" customHeight="1">
      <x:c r="A204" s="24" t="str">
        <x:v>ION_VARUS_COMBAT</x:v>
      </x:c>
      <x:c r="B204" s="24" t="str">
        <x:v>varus</x:v>
      </x:c>
      <x:c r="C204" s="24" t="str">
        <x:v>韦鲁斯</x:v>
      </x:c>
      <x:c r="D204" s="24" t="str">
        <x:v>COMBAT</x:v>
      </x:c>
      <x:c r="E204" s="24" t="str">
        <x:v>战斗行动</x:v>
      </x:c>
      <x:c r="F204" s="24" t="str">
        <x:v>角色发动标志性行动</x:v>
      </x:c>
      <x:c r="G204" s="24" t="str">
        <x:v>玩家</x:v>
      </x:c>
      <x:c r="H204" s="24" t="str">
        <x:v>战意</x:v>
      </x:c>
      <x:c r="I204" s="24" t="str">
        <x:v>专注</x:v>
      </x:c>
      <x:c r="J204" s="24" t="n">
        <x:v>4</x:v>
      </x:c>
      <x:c r="K204" s="30" t="str">
        <x:v>弓弦会替复仇找到最短的道路。</x:v>
      </x:c>
      <x:c r="L204" s="30" t="str">
        <x:v>保持低沉、古老、偶有多重意识裂缝；不得用简单回声代替三重人格表演</x:v>
      </x:c>
      <x:c r="M204" s="30" t="n">
        <x:v>2</x:v>
      </x:c>
      <x:c r="N204" s="30" t="n">
        <x:v>0</x:v>
      </x:c>
      <x:c r="O204" s="30" t="str">
        <x:v>不限</x:v>
      </x:c>
      <x:c r="P204" s="30" t="str">
        <x:v>不限</x:v>
      </x:c>
      <x:c r="Q204" s="30" t="str">
        <x:v>否</x:v>
      </x:c>
      <x:c r="R204" s="30" t="n">
        <x:v>10</x:v>
      </x:c>
      <x:c r="S204" s="30" t="str">
        <x:v>power</x:v>
      </x:c>
      <x:c r="T204" s="30" t="str">
        <x:v>strong</x:v>
      </x:c>
      <x:c r="U204" s="30" t="n">
        <x:v>3</x:v>
      </x:c>
      <x:c r="V204" s="36" t="str">
        <x:f>A204&amp;".wav"</x:f>
        <x:v>ION_VARUS_COMBAT.wav</x:v>
      </x:c>
      <x:c r="W204" s="36" t="str">
        <x:v>待审核</x:v>
      </x:c>
      <x:c r="X204" s="36" t="str"/>
      <x:c r="Y204" s="36" t="str">
        <x:v>https://universe.leagueoflegends.com/en_US/story/champion/varus/</x:v>
      </x:c>
    </x:row>
    <x:row r="205" ht="68" customHeight="1">
      <x:c r="A205" s="24" t="str">
        <x:v>ION_VARUS_VICTORY</x:v>
      </x:c>
      <x:c r="B205" s="24" t="str">
        <x:v>varus</x:v>
      </x:c>
      <x:c r="C205" s="24" t="str">
        <x:v>韦鲁斯</x:v>
      </x:c>
      <x:c r="D205" s="24" t="str">
        <x:v>VICTORY</x:v>
      </x:c>
      <x:c r="E205" s="24" t="str">
        <x:v>战斗胜利</x:v>
      </x:c>
      <x:c r="F205" s="24" t="str">
        <x:v>威胁解除并进入结算</x:v>
      </x:c>
      <x:c r="G205" s="24" t="str">
        <x:v>玩家</x:v>
      </x:c>
      <x:c r="H205" s="24" t="str">
        <x:v>释然</x:v>
      </x:c>
      <x:c r="I205" s="24" t="str">
        <x:v>克制喜悦</x:v>
      </x:c>
      <x:c r="J205" s="24" t="n">
        <x:v>3</x:v>
      </x:c>
      <x:c r="K205" s="30" t="str">
        <x:v>目标消失了。内心的争夺却从未停止。</x:v>
      </x:c>
      <x:c r="L205" s="30" t="str">
        <x:v>保持低沉、古老、偶有多重意识裂缝；不得用简单回声代替三重人格表演</x:v>
      </x:c>
      <x:c r="M205" s="30" t="n">
        <x:v>4</x:v>
      </x:c>
      <x:c r="N205" s="30" t="n">
        <x:v>0</x:v>
      </x:c>
      <x:c r="O205" s="30" t="str">
        <x:v>不限</x:v>
      </x:c>
      <x:c r="P205" s="30" t="str">
        <x:v>不限</x:v>
      </x:c>
      <x:c r="Q205" s="30" t="str">
        <x:v>否</x:v>
      </x:c>
      <x:c r="R205" s="30" t="n">
        <x:v>10</x:v>
      </x:c>
      <x:c r="S205" s="30" t="str">
        <x:v>destiny</x:v>
      </x:c>
      <x:c r="T205" s="30" t="str">
        <x:v>breaker</x:v>
      </x:c>
      <x:c r="U205" s="30" t="n">
        <x:v>3</x:v>
      </x:c>
      <x:c r="V205" s="36" t="str">
        <x:f>A205&amp;".wav"</x:f>
        <x:v>ION_VARUS_VICTORY.wav</x:v>
      </x:c>
      <x:c r="W205" s="36" t="str">
        <x:v>待审核</x:v>
      </x:c>
      <x:c r="X205" s="36" t="str"/>
      <x:c r="Y205" s="36" t="str">
        <x:v>https://universe.leagueoflegends.com/en_US/story/champion/varus/</x:v>
      </x:c>
    </x:row>
    <x:row r="206" ht="68" customHeight="1">
      <x:c r="A206" s="24" t="str">
        <x:v>ION_VARUS_DEFEAT</x:v>
      </x:c>
      <x:c r="B206" s="24" t="str">
        <x:v>varus</x:v>
      </x:c>
      <x:c r="C206" s="24" t="str">
        <x:v>韦鲁斯</x:v>
      </x:c>
      <x:c r="D206" s="24" t="str">
        <x:v>DEFEAT</x:v>
      </x:c>
      <x:c r="E206" s="24" t="str">
        <x:v>失败撤退</x:v>
      </x:c>
      <x:c r="F206" s="24" t="str">
        <x:v>角色被迫撤离或计划失败</x:v>
      </x:c>
      <x:c r="G206" s="24" t="str">
        <x:v>玩家</x:v>
      </x:c>
      <x:c r="H206" s="24" t="str">
        <x:v>挫败</x:v>
      </x:c>
      <x:c r="I206" s="24" t="str">
        <x:v>反思</x:v>
      </x:c>
      <x:c r="J206" s="24" t="n">
        <x:v>4</x:v>
      </x:c>
      <x:c r="K206" s="30" t="str">
        <x:v>这具身体已经接近极限。撤离，不是请求。</x:v>
      </x:c>
      <x:c r="L206" s="30" t="str">
        <x:v>保持低沉、古老、偶有多重意识裂缝；不得用简单回声代替三重人格表演</x:v>
      </x:c>
      <x:c r="M206" s="30" t="n">
        <x:v>5</x:v>
      </x:c>
      <x:c r="N206" s="30" t="n">
        <x:v>0</x:v>
      </x:c>
      <x:c r="O206" s="30" t="str">
        <x:v>不限</x:v>
      </x:c>
      <x:c r="P206" s="30" t="str">
        <x:v>不限</x:v>
      </x:c>
      <x:c r="Q206" s="30" t="str">
        <x:v>否</x:v>
      </x:c>
      <x:c r="R206" s="30" t="n">
        <x:v>10</x:v>
      </x:c>
      <x:c r="S206" s="30" t="str">
        <x:v>spirit</x:v>
      </x:c>
      <x:c r="T206" s="30" t="str">
        <x:v>spirit_fate</x:v>
      </x:c>
      <x:c r="U206" s="30" t="n">
        <x:v>3</x:v>
      </x:c>
      <x:c r="V206" s="36" t="str">
        <x:f>A206&amp;".wav"</x:f>
        <x:v>ION_VARUS_DEFEAT.wav</x:v>
      </x:c>
      <x:c r="W206" s="36" t="str">
        <x:v>待审核</x:v>
      </x:c>
      <x:c r="X206" s="36" t="str"/>
      <x:c r="Y206" s="36" t="str">
        <x:v>https://universe.leagueoflegends.com/en_US/story/champion/varus/</x:v>
      </x:c>
    </x:row>
    <x:row r="207" ht="68" customHeight="1">
      <x:c r="A207" s="24" t="str">
        <x:v>ION_VARUS_LORE</x:v>
      </x:c>
      <x:c r="B207" s="24" t="str">
        <x:v>varus</x:v>
      </x:c>
      <x:c r="C207" s="24" t="str">
        <x:v>韦鲁斯</x:v>
      </x:c>
      <x:c r="D207" s="24" t="str">
        <x:v>LORE</x:v>
      </x:c>
      <x:c r="E207" s="24" t="str">
        <x:v>世界观讲述</x:v>
      </x:c>
      <x:c r="F207" s="24" t="str">
        <x:v>玩家询问人物、地点或往事</x:v>
      </x:c>
      <x:c r="G207" s="24" t="str">
        <x:v>玩家</x:v>
      </x:c>
      <x:c r="H207" s="24" t="str">
        <x:v>叙述</x:v>
      </x:c>
      <x:c r="I207" s="24" t="str">
        <x:v>怀念</x:v>
      </x:c>
      <x:c r="J207" s="24" t="n">
        <x:v>2</x:v>
      </x:c>
      <x:c r="K207" s="30" t="str">
        <x:v>帕拉斯埋葬的不只是暗裔，也埋葬了两个不肯彼此放弃的人。</x:v>
      </x:c>
      <x:c r="L207" s="30" t="str">
        <x:v>保持低沉、古老、偶有多重意识裂缝；不得用简单回声代替三重人格表演</x:v>
      </x:c>
      <x:c r="M207" s="30" t="n">
        <x:v>8</x:v>
      </x:c>
      <x:c r="N207" s="30" t="n">
        <x:v>0</x:v>
      </x:c>
      <x:c r="O207" s="30" t="str">
        <x:v>不限</x:v>
      </x:c>
      <x:c r="P207" s="30" t="str">
        <x:v>不限</x:v>
      </x:c>
      <x:c r="Q207" s="30" t="str">
        <x:v>是</x:v>
      </x:c>
      <x:c r="R207" s="30" t="n">
        <x:v>10</x:v>
      </x:c>
      <x:c r="S207" s="30" t="str">
        <x:v>spirit</x:v>
      </x:c>
      <x:c r="T207" s="30" t="str">
        <x:v>spirit_fate</x:v>
      </x:c>
      <x:c r="U207" s="30" t="n">
        <x:v>0</x:v>
      </x:c>
      <x:c r="V207" s="36" t="str">
        <x:f>A207&amp;".wav"</x:f>
        <x:v>ION_VARUS_LORE.wav</x:v>
      </x:c>
      <x:c r="W207" s="36" t="str">
        <x:v>待审核</x:v>
      </x:c>
      <x:c r="X207" s="36" t="str"/>
      <x:c r="Y207" s="36" t="str">
        <x:v>https://universe.leagueoflegends.com/en_US/story/champion/varus/</x:v>
      </x:c>
    </x:row>
    <x:row r="208" ht="68" customHeight="1">
      <x:c r="A208" s="24" t="str">
        <x:v>ION_VARUS_FAREWELL</x:v>
      </x:c>
      <x:c r="B208" s="24" t="str">
        <x:v>varus</x:v>
      </x:c>
      <x:c r="C208" s="24" t="str">
        <x:v>韦鲁斯</x:v>
      </x:c>
      <x:c r="D208" s="24" t="str">
        <x:v>FAREWELL</x:v>
      </x:c>
      <x:c r="E208" s="24" t="str">
        <x:v>阶段告别</x:v>
      </x:c>
      <x:c r="F208" s="24" t="str">
        <x:v>事件结束或角色离开队伍</x:v>
      </x:c>
      <x:c r="G208" s="24" t="str">
        <x:v>玩家</x:v>
      </x:c>
      <x:c r="H208" s="24" t="str">
        <x:v>告别</x:v>
      </x:c>
      <x:c r="I208" s="24" t="str">
        <x:v>复杂</x:v>
      </x:c>
      <x:c r="J208" s="24" t="n">
        <x:v>3</x:v>
      </x:c>
      <x:c r="K208" s="30" t="str">
        <x:v>我要继续寻找同类。你最好不要成为下一条线索。</x:v>
      </x:c>
      <x:c r="L208" s="30" t="str">
        <x:v>保持低沉、古老、偶有多重意识裂缝；不得用简单回声代替三重人格表演</x:v>
      </x:c>
      <x:c r="M208" s="30" t="n">
        <x:v>5</x:v>
      </x:c>
      <x:c r="N208" s="30" t="n">
        <x:v>0</x:v>
      </x:c>
      <x:c r="O208" s="30" t="str">
        <x:v>不限</x:v>
      </x:c>
      <x:c r="P208" s="30" t="str">
        <x:v>不限</x:v>
      </x:c>
      <x:c r="Q208" s="30" t="str">
        <x:v>否</x:v>
      </x:c>
      <x:c r="R208" s="30" t="n">
        <x:v>10</x:v>
      </x:c>
      <x:c r="S208" s="30" t="str">
        <x:v>freedom</x:v>
      </x:c>
      <x:c r="T208" s="30" t="str">
        <x:v>wanderer</x:v>
      </x:c>
      <x:c r="U208" s="30" t="n">
        <x:v>3</x:v>
      </x:c>
      <x:c r="V208" s="36" t="str">
        <x:f>A208&amp;".wav"</x:f>
        <x:v>ION_VARUS_FAREWELL.wav</x:v>
      </x:c>
      <x:c r="W208" s="36" t="str">
        <x:v>待审核</x:v>
      </x:c>
      <x:c r="X208" s="36" t="str"/>
      <x:c r="Y208" s="36" t="str">
        <x:v>https://universe.leagueoflegends.com/en_US/story/champion/varus/</x:v>
      </x:c>
    </x:row>
    <x:row r="209" ht="68" customHeight="1">
      <x:c r="A209" s="24" t="str">
        <x:v>ION_WUKONG_MEET</x:v>
      </x:c>
      <x:c r="B209" s="24" t="str">
        <x:v>wukong</x:v>
      </x:c>
      <x:c r="C209" s="24" t="str">
        <x:v>悟空</x:v>
      </x:c>
      <x:c r="D209" s="24" t="str">
        <x:v>MEET</x:v>
      </x:c>
      <x:c r="E209" s="24" t="str">
        <x:v>初次相遇</x:v>
      </x:c>
      <x:c r="F209" s="24" t="str">
        <x:v>玩家第一次接近角色</x:v>
      </x:c>
      <x:c r="G209" s="24" t="str">
        <x:v>玩家</x:v>
      </x:c>
      <x:c r="H209" s="24" t="str">
        <x:v>审视</x:v>
      </x:c>
      <x:c r="I209" s="24" t="str">
        <x:v>中性</x:v>
      </x:c>
      <x:c r="J209" s="24" t="n">
        <x:v>2</x:v>
      </x:c>
      <x:c r="K209" s="30" t="str">
        <x:v>嘿，你就是那个让师父多看了两眼的人？来，比划一下！</x:v>
      </x:c>
      <x:c r="L209" s="30" t="str">
        <x:v>保持灵活、俏皮、喜欢挑战性的比喻；避免卡通猴叫与纯搞笑演法</x:v>
      </x:c>
      <x:c r="M209" s="30" t="n">
        <x:v>4</x:v>
      </x:c>
      <x:c r="N209" s="30" t="n">
        <x:v>0</x:v>
      </x:c>
      <x:c r="O209" s="30" t="str">
        <x:v>不限</x:v>
      </x:c>
      <x:c r="P209" s="30" t="str">
        <x:v>不限</x:v>
      </x:c>
      <x:c r="Q209" s="30" t="str">
        <x:v>是</x:v>
      </x:c>
      <x:c r="R209" s="30" t="n">
        <x:v>10</x:v>
      </x:c>
      <x:c r="S209" s="30" t="str">
        <x:v>destiny</x:v>
      </x:c>
      <x:c r="T209" s="30" t="str">
        <x:v>breaker</x:v>
      </x:c>
      <x:c r="U209" s="30" t="n">
        <x:v>0</x:v>
      </x:c>
      <x:c r="V209" s="36" t="str">
        <x:f>A209&amp;".wav"</x:f>
        <x:v>ION_WUKONG_MEET.wav</x:v>
      </x:c>
      <x:c r="W209" s="36" t="str">
        <x:v>待审核</x:v>
      </x:c>
      <x:c r="X209" s="36" t="str"/>
      <x:c r="Y209" s="36" t="str">
        <x:v>https://www.leagueoflegends.com/en-us/champions/monkeyking/</x:v>
      </x:c>
    </x:row>
    <x:row r="210" ht="68" customHeight="1">
      <x:c r="A210" s="24" t="str">
        <x:v>ION_WUKONG_GREET</x:v>
      </x:c>
      <x:c r="B210" s="24" t="str">
        <x:v>wukong</x:v>
      </x:c>
      <x:c r="C210" s="24" t="str">
        <x:v>悟空</x:v>
      </x:c>
      <x:c r="D210" s="24" t="str">
        <x:v>GREET</x:v>
      </x:c>
      <x:c r="E210" s="24" t="str">
        <x:v>友好问候</x:v>
      </x:c>
      <x:c r="F210" s="24" t="str">
        <x:v>关系值达到友好后进入对话</x:v>
      </x:c>
      <x:c r="G210" s="24" t="str">
        <x:v>玩家</x:v>
      </x:c>
      <x:c r="H210" s="24" t="str">
        <x:v>友善</x:v>
      </x:c>
      <x:c r="I210" s="24" t="str">
        <x:v>喜悦</x:v>
      </x:c>
      <x:c r="J210" s="24" t="n">
        <x:v>2</x:v>
      </x:c>
      <x:c r="K210" s="30" t="str">
        <x:v>不错嘛！你今天看起来比昨天更像个能赢的家伙。</x:v>
      </x:c>
      <x:c r="L210" s="30" t="str">
        <x:v>保持灵活、俏皮、喜欢挑战性的比喻；避免卡通猴叫与纯搞笑演法</x:v>
      </x:c>
      <x:c r="M210" s="30" t="n">
        <x:v>3</x:v>
      </x:c>
      <x:c r="N210" s="30" t="n">
        <x:v>10</x:v>
      </x:c>
      <x:c r="O210" s="30" t="str">
        <x:v>不限</x:v>
      </x:c>
      <x:c r="P210" s="30" t="str">
        <x:v>不限</x:v>
      </x:c>
      <x:c r="Q210" s="30" t="str">
        <x:v>否</x:v>
      </x:c>
      <x:c r="R210" s="30" t="n">
        <x:v>10</x:v>
      </x:c>
      <x:c r="S210" s="30" t="str">
        <x:v>peace</x:v>
      </x:c>
      <x:c r="T210" s="30" t="str">
        <x:v>guardian</x:v>
      </x:c>
      <x:c r="U210" s="30" t="n">
        <x:v>3</x:v>
      </x:c>
      <x:c r="V210" s="36" t="str">
        <x:f>A210&amp;".wav"</x:f>
        <x:v>ION_WUKONG_GREET.wav</x:v>
      </x:c>
      <x:c r="W210" s="36" t="str">
        <x:v>待审核</x:v>
      </x:c>
      <x:c r="X210" s="36" t="str"/>
      <x:c r="Y210" s="36" t="str">
        <x:v>https://www.leagueoflegends.com/en-us/champions/monkeyking/</x:v>
      </x:c>
    </x:row>
    <x:row r="211" ht="68" customHeight="1">
      <x:c r="A211" s="24" t="str">
        <x:v>ION_WUKONG_WARN</x:v>
      </x:c>
      <x:c r="B211" s="24" t="str">
        <x:v>wukong</x:v>
      </x:c>
      <x:c r="C211" s="24" t="str">
        <x:v>悟空</x:v>
      </x:c>
      <x:c r="D211" s="24" t="str">
        <x:v>WARN</x:v>
      </x:c>
      <x:c r="E211" s="24" t="str">
        <x:v>危险警告</x:v>
      </x:c>
      <x:c r="F211" s="24" t="str">
        <x:v>区域威胁或伏击即将发生</x:v>
      </x:c>
      <x:c r="G211" s="24" t="str">
        <x:v>玩家</x:v>
      </x:c>
      <x:c r="H211" s="24" t="str">
        <x:v>紧张</x:v>
      </x:c>
      <x:c r="I211" s="24" t="str">
        <x:v>警觉</x:v>
      </x:c>
      <x:c r="J211" s="24" t="n">
        <x:v>3</x:v>
      </x:c>
      <x:c r="K211" s="30" t="str">
        <x:v>有人藏着。要不要猜猜他会先打我的真身还是假身？</x:v>
      </x:c>
      <x:c r="L211" s="30" t="str">
        <x:v>保持灵活、俏皮、喜欢挑战性的比喻；避免卡通猴叫与纯搞笑演法</x:v>
      </x:c>
      <x:c r="M211" s="30" t="n">
        <x:v>3</x:v>
      </x:c>
      <x:c r="N211" s="30" t="n">
        <x:v>0</x:v>
      </x:c>
      <x:c r="O211" s="30" t="str">
        <x:v>不限</x:v>
      </x:c>
      <x:c r="P211" s="30" t="str">
        <x:v>不限</x:v>
      </x:c>
      <x:c r="Q211" s="30" t="str">
        <x:v>否</x:v>
      </x:c>
      <x:c r="R211" s="30" t="n">
        <x:v>10</x:v>
      </x:c>
      <x:c r="S211" s="30" t="str">
        <x:v>destiny</x:v>
      </x:c>
      <x:c r="T211" s="30" t="str">
        <x:v>breaker</x:v>
      </x:c>
      <x:c r="U211" s="30" t="n">
        <x:v>3</x:v>
      </x:c>
      <x:c r="V211" s="36" t="str">
        <x:f>A211&amp;".wav"</x:f>
        <x:v>ION_WUKONG_WARN.wav</x:v>
      </x:c>
      <x:c r="W211" s="36" t="str">
        <x:v>待审核</x:v>
      </x:c>
      <x:c r="X211" s="36" t="str"/>
      <x:c r="Y211" s="36" t="str">
        <x:v>https://www.leagueoflegends.com/en-us/champions/monkeyking/</x:v>
      </x:c>
    </x:row>
    <x:row r="212" ht="68" customHeight="1">
      <x:c r="A212" s="24" t="str">
        <x:v>ION_WUKONG_REFUSE</x:v>
      </x:c>
      <x:c r="B212" s="24" t="str">
        <x:v>wukong</x:v>
      </x:c>
      <x:c r="C212" s="24" t="str">
        <x:v>悟空</x:v>
      </x:c>
      <x:c r="D212" s="24" t="str">
        <x:v>REFUSE</x:v>
      </x:c>
      <x:c r="E212" s="24" t="str">
        <x:v>拒绝请求</x:v>
      </x:c>
      <x:c r="F212" s="24" t="str">
        <x:v>玩家请求触碰角色底线</x:v>
      </x:c>
      <x:c r="G212" s="24" t="str">
        <x:v>玩家</x:v>
      </x:c>
      <x:c r="H212" s="24" t="str">
        <x:v>拒绝</x:v>
      </x:c>
      <x:c r="I212" s="24" t="str">
        <x:v>厌恶</x:v>
      </x:c>
      <x:c r="J212" s="24" t="n">
        <x:v>3</x:v>
      </x:c>
      <x:c r="K212" s="30" t="str">
        <x:v>不干。连挑战都没有的差事，听着就让棍子犯困。</x:v>
      </x:c>
      <x:c r="L212" s="30" t="str">
        <x:v>保持灵活、俏皮、喜欢挑战性的比喻；避免卡通猴叫与纯搞笑演法</x:v>
      </x:c>
      <x:c r="M212" s="30" t="n">
        <x:v>4</x:v>
      </x:c>
      <x:c r="N212" s="30" t="n">
        <x:v>-20</x:v>
      </x:c>
      <x:c r="O212" s="30" t="str">
        <x:v>不限</x:v>
      </x:c>
      <x:c r="P212" s="30" t="str">
        <x:v>不限</x:v>
      </x:c>
      <x:c r="Q212" s="30" t="str">
        <x:v>否</x:v>
      </x:c>
      <x:c r="R212" s="30" t="n">
        <x:v>10</x:v>
      </x:c>
      <x:c r="S212" s="30" t="str">
        <x:v>freedom</x:v>
      </x:c>
      <x:c r="T212" s="30" t="str">
        <x:v>wanderer</x:v>
      </x:c>
      <x:c r="U212" s="30" t="n">
        <x:v>3</x:v>
      </x:c>
      <x:c r="V212" s="36" t="str">
        <x:f>A212&amp;".wav"</x:f>
        <x:v>ION_WUKONG_REFUSE.wav</x:v>
      </x:c>
      <x:c r="W212" s="36" t="str">
        <x:v>待审核</x:v>
      </x:c>
      <x:c r="X212" s="36" t="str"/>
      <x:c r="Y212" s="36" t="str">
        <x:v>https://www.leagueoflegends.com/en-us/champions/monkeyking/</x:v>
      </x:c>
    </x:row>
    <x:row r="213" ht="68" customHeight="1">
      <x:c r="A213" s="24" t="str">
        <x:v>ION_WUKONG_TRUST</x:v>
      </x:c>
      <x:c r="B213" s="24" t="str">
        <x:v>wukong</x:v>
      </x:c>
      <x:c r="C213" s="24" t="str">
        <x:v>悟空</x:v>
      </x:c>
      <x:c r="D213" s="24" t="str">
        <x:v>TRUST</x:v>
      </x:c>
      <x:c r="E213" s="24" t="str">
        <x:v>建立信任</x:v>
      </x:c>
      <x:c r="F213" s="24" t="str">
        <x:v>玩家满足角色的信任条件</x:v>
      </x:c>
      <x:c r="G213" s="24" t="str">
        <x:v>玩家</x:v>
      </x:c>
      <x:c r="H213" s="24" t="str">
        <x:v>信任</x:v>
      </x:c>
      <x:c r="I213" s="24" t="str">
        <x:v>柔和</x:v>
      </x:c>
      <x:c r="J213" s="24" t="n">
        <x:v>3</x:v>
      </x:c>
      <x:c r="K213" s="30" t="str">
        <x:v>背靠背！你负责认真，我负责让他们分不清谁更认真。</x:v>
      </x:c>
      <x:c r="L213" s="30" t="str">
        <x:v>保持灵活、俏皮、喜欢挑战性的比喻；避免卡通猴叫与纯搞笑演法</x:v>
      </x:c>
      <x:c r="M213" s="30" t="n">
        <x:v>5</x:v>
      </x:c>
      <x:c r="N213" s="30" t="n">
        <x:v>40</x:v>
      </x:c>
      <x:c r="O213" s="30" t="str">
        <x:v>不限</x:v>
      </x:c>
      <x:c r="P213" s="30" t="str">
        <x:v>不限</x:v>
      </x:c>
      <x:c r="Q213" s="30" t="str">
        <x:v>是</x:v>
      </x:c>
      <x:c r="R213" s="30" t="n">
        <x:v>10</x:v>
      </x:c>
      <x:c r="S213" s="30" t="str">
        <x:v>peace</x:v>
      </x:c>
      <x:c r="T213" s="30" t="str">
        <x:v>guardian</x:v>
      </x:c>
      <x:c r="U213" s="30" t="n">
        <x:v>0</x:v>
      </x:c>
      <x:c r="V213" s="36" t="str">
        <x:f>A213&amp;".wav"</x:f>
        <x:v>ION_WUKONG_TRUST.wav</x:v>
      </x:c>
      <x:c r="W213" s="36" t="str">
        <x:v>待审核</x:v>
      </x:c>
      <x:c r="X213" s="36" t="str"/>
      <x:c r="Y213" s="36" t="str">
        <x:v>https://www.leagueoflegends.com/en-us/champions/monkeyking/</x:v>
      </x:c>
    </x:row>
    <x:row r="214" ht="68" customHeight="1">
      <x:c r="A214" s="24" t="str">
        <x:v>ION_WUKONG_ANGER</x:v>
      </x:c>
      <x:c r="B214" s="24" t="str">
        <x:v>wukong</x:v>
      </x:c>
      <x:c r="C214" s="24" t="str">
        <x:v>悟空</x:v>
      </x:c>
      <x:c r="D214" s="24" t="str">
        <x:v>ANGER</x:v>
      </x:c>
      <x:c r="E214" s="24" t="str">
        <x:v>被激怒</x:v>
      </x:c>
      <x:c r="F214" s="24" t="str">
        <x:v>玩家触发角色主要怒点</x:v>
      </x:c>
      <x:c r="G214" s="24" t="str">
        <x:v>玩家</x:v>
      </x:c>
      <x:c r="H214" s="24" t="str">
        <x:v>愤怒</x:v>
      </x:c>
      <x:c r="I214" s="24" t="str">
        <x:v>受伤</x:v>
      </x:c>
      <x:c r="J214" s="24" t="n">
        <x:v>4</x:v>
      </x:c>
      <x:c r="K214" s="30" t="str">
        <x:v>再说我没资格试试。上一个这么说的人现在还在找自己的牙。</x:v>
      </x:c>
      <x:c r="L214" s="30" t="str">
        <x:v>保持灵活、俏皮、喜欢挑战性的比喻；避免卡通猴叫与纯搞笑演法</x:v>
      </x:c>
      <x:c r="M214" s="30" t="n">
        <x:v>4</x:v>
      </x:c>
      <x:c r="N214" s="30" t="n">
        <x:v>-20</x:v>
      </x:c>
      <x:c r="O214" s="30" t="str">
        <x:v>不限</x:v>
      </x:c>
      <x:c r="P214" s="30" t="str">
        <x:v>不限</x:v>
      </x:c>
      <x:c r="Q214" s="30" t="str">
        <x:v>否</x:v>
      </x:c>
      <x:c r="R214" s="30" t="n">
        <x:v>10</x:v>
      </x:c>
      <x:c r="S214" s="30" t="str">
        <x:v>power</x:v>
      </x:c>
      <x:c r="T214" s="30" t="str">
        <x:v>strong</x:v>
      </x:c>
      <x:c r="U214" s="30" t="n">
        <x:v>3</x:v>
      </x:c>
      <x:c r="V214" s="36" t="str">
        <x:f>A214&amp;".wav"</x:f>
        <x:v>ION_WUKONG_ANGER.wav</x:v>
      </x:c>
      <x:c r="W214" s="36" t="str">
        <x:v>待审核</x:v>
      </x:c>
      <x:c r="X214" s="36" t="str"/>
      <x:c r="Y214" s="36" t="str">
        <x:v>https://www.leagueoflegends.com/en-us/champions/monkeyking/</x:v>
      </x:c>
    </x:row>
    <x:row r="215" ht="68" customHeight="1">
      <x:c r="A215" s="24" t="str">
        <x:v>ION_WUKONG_HURT</x:v>
      </x:c>
      <x:c r="B215" s="24" t="str">
        <x:v>wukong</x:v>
      </x:c>
      <x:c r="C215" s="24" t="str">
        <x:v>悟空</x:v>
      </x:c>
      <x:c r="D215" s="24" t="str">
        <x:v>HURT</x:v>
      </x:c>
      <x:c r="E215" s="24" t="str">
        <x:v>受伤反馈</x:v>
      </x:c>
      <x:c r="F215" s="24" t="str">
        <x:v>角色受到重击但仍可行动</x:v>
      </x:c>
      <x:c r="G215" s="24" t="str">
        <x:v>玩家</x:v>
      </x:c>
      <x:c r="H215" s="24" t="str">
        <x:v>痛苦</x:v>
      </x:c>
      <x:c r="I215" s="24" t="str">
        <x:v>坚持</x:v>
      </x:c>
      <x:c r="J215" s="24" t="n">
        <x:v>4</x:v>
      </x:c>
      <x:c r="K215" s="30" t="str">
        <x:v>哎，这下够劲！放心，我还能再跳三棵树。</x:v>
      </x:c>
      <x:c r="L215" s="30" t="str">
        <x:v>保持灵活、俏皮、喜欢挑战性的比喻；避免卡通猴叫与纯搞笑演法</x:v>
      </x:c>
      <x:c r="M215" s="30" t="n">
        <x:v>2</x:v>
      </x:c>
      <x:c r="N215" s="30" t="n">
        <x:v>0</x:v>
      </x:c>
      <x:c r="O215" s="30" t="str">
        <x:v>不限</x:v>
      </x:c>
      <x:c r="P215" s="30" t="str">
        <x:v>不限</x:v>
      </x:c>
      <x:c r="Q215" s="30" t="str">
        <x:v>否</x:v>
      </x:c>
      <x:c r="R215" s="30" t="n">
        <x:v>10</x:v>
      </x:c>
      <x:c r="S215" s="30" t="str">
        <x:v>peace</x:v>
      </x:c>
      <x:c r="T215" s="30" t="str">
        <x:v>guardian</x:v>
      </x:c>
      <x:c r="U215" s="30" t="n">
        <x:v>3</x:v>
      </x:c>
      <x:c r="V215" s="36" t="str">
        <x:f>A215&amp;".wav"</x:f>
        <x:v>ION_WUKONG_HURT.wav</x:v>
      </x:c>
      <x:c r="W215" s="36" t="str">
        <x:v>待审核</x:v>
      </x:c>
      <x:c r="X215" s="36" t="str"/>
      <x:c r="Y215" s="36" t="str">
        <x:v>https://www.leagueoflegends.com/en-us/champions/monkeyking/</x:v>
      </x:c>
    </x:row>
    <x:row r="216" ht="68" customHeight="1">
      <x:c r="A216" s="24" t="str">
        <x:v>ION_WUKONG_COMBAT</x:v>
      </x:c>
      <x:c r="B216" s="24" t="str">
        <x:v>wukong</x:v>
      </x:c>
      <x:c r="C216" s="24" t="str">
        <x:v>悟空</x:v>
      </x:c>
      <x:c r="D216" s="24" t="str">
        <x:v>COMBAT</x:v>
      </x:c>
      <x:c r="E216" s="24" t="str">
        <x:v>战斗行动</x:v>
      </x:c>
      <x:c r="F216" s="24" t="str">
        <x:v>角色发动标志性行动</x:v>
      </x:c>
      <x:c r="G216" s="24" t="str">
        <x:v>玩家</x:v>
      </x:c>
      <x:c r="H216" s="24" t="str">
        <x:v>战意</x:v>
      </x:c>
      <x:c r="I216" s="24" t="str">
        <x:v>专注</x:v>
      </x:c>
      <x:c r="J216" s="24" t="n">
        <x:v>4</x:v>
      </x:c>
      <x:c r="K216" s="30" t="str">
        <x:v>看仔细了——这招我只演一次，假身除外！</x:v>
      </x:c>
      <x:c r="L216" s="30" t="str">
        <x:v>保持灵活、俏皮、喜欢挑战性的比喻；避免卡通猴叫与纯搞笑演法</x:v>
      </x:c>
      <x:c r="M216" s="30" t="n">
        <x:v>2</x:v>
      </x:c>
      <x:c r="N216" s="30" t="n">
        <x:v>0</x:v>
      </x:c>
      <x:c r="O216" s="30" t="str">
        <x:v>不限</x:v>
      </x:c>
      <x:c r="P216" s="30" t="str">
        <x:v>不限</x:v>
      </x:c>
      <x:c r="Q216" s="30" t="str">
        <x:v>否</x:v>
      </x:c>
      <x:c r="R216" s="30" t="n">
        <x:v>10</x:v>
      </x:c>
      <x:c r="S216" s="30" t="str">
        <x:v>power</x:v>
      </x:c>
      <x:c r="T216" s="30" t="str">
        <x:v>strong</x:v>
      </x:c>
      <x:c r="U216" s="30" t="n">
        <x:v>3</x:v>
      </x:c>
      <x:c r="V216" s="36" t="str">
        <x:f>A216&amp;".wav"</x:f>
        <x:v>ION_WUKONG_COMBAT.wav</x:v>
      </x:c>
      <x:c r="W216" s="36" t="str">
        <x:v>待审核</x:v>
      </x:c>
      <x:c r="X216" s="36" t="str"/>
      <x:c r="Y216" s="36" t="str">
        <x:v>https://www.leagueoflegends.com/en-us/champions/monkeyking/</x:v>
      </x:c>
    </x:row>
    <x:row r="217" ht="68" customHeight="1">
      <x:c r="A217" s="24" t="str">
        <x:v>ION_WUKONG_VICTORY</x:v>
      </x:c>
      <x:c r="B217" s="24" t="str">
        <x:v>wukong</x:v>
      </x:c>
      <x:c r="C217" s="24" t="str">
        <x:v>悟空</x:v>
      </x:c>
      <x:c r="D217" s="24" t="str">
        <x:v>VICTORY</x:v>
      </x:c>
      <x:c r="E217" s="24" t="str">
        <x:v>战斗胜利</x:v>
      </x:c>
      <x:c r="F217" s="24" t="str">
        <x:v>威胁解除并进入结算</x:v>
      </x:c>
      <x:c r="G217" s="24" t="str">
        <x:v>玩家</x:v>
      </x:c>
      <x:c r="H217" s="24" t="str">
        <x:v>释然</x:v>
      </x:c>
      <x:c r="I217" s="24" t="str">
        <x:v>克制喜悦</x:v>
      </x:c>
      <x:c r="J217" s="24" t="n">
        <x:v>3</x:v>
      </x:c>
      <x:c r="K217" s="30" t="str">
        <x:v>赢了！别摆那张脸，高手庆祝也是修行。</x:v>
      </x:c>
      <x:c r="L217" s="30" t="str">
        <x:v>保持灵活、俏皮、喜欢挑战性的比喻；避免卡通猴叫与纯搞笑演法</x:v>
      </x:c>
      <x:c r="M217" s="30" t="n">
        <x:v>4</x:v>
      </x:c>
      <x:c r="N217" s="30" t="n">
        <x:v>0</x:v>
      </x:c>
      <x:c r="O217" s="30" t="str">
        <x:v>不限</x:v>
      </x:c>
      <x:c r="P217" s="30" t="str">
        <x:v>不限</x:v>
      </x:c>
      <x:c r="Q217" s="30" t="str">
        <x:v>否</x:v>
      </x:c>
      <x:c r="R217" s="30" t="n">
        <x:v>10</x:v>
      </x:c>
      <x:c r="S217" s="30" t="str">
        <x:v>destiny</x:v>
      </x:c>
      <x:c r="T217" s="30" t="str">
        <x:v>breaker</x:v>
      </x:c>
      <x:c r="U217" s="30" t="n">
        <x:v>3</x:v>
      </x:c>
      <x:c r="V217" s="36" t="str">
        <x:f>A217&amp;".wav"</x:f>
        <x:v>ION_WUKONG_VICTORY.wav</x:v>
      </x:c>
      <x:c r="W217" s="36" t="str">
        <x:v>待审核</x:v>
      </x:c>
      <x:c r="X217" s="36" t="str"/>
      <x:c r="Y217" s="36" t="str">
        <x:v>https://www.leagueoflegends.com/en-us/champions/monkeyking/</x:v>
      </x:c>
    </x:row>
    <x:row r="218" ht="68" customHeight="1">
      <x:c r="A218" s="24" t="str">
        <x:v>ION_WUKONG_DEFEAT</x:v>
      </x:c>
      <x:c r="B218" s="24" t="str">
        <x:v>wukong</x:v>
      </x:c>
      <x:c r="C218" s="24" t="str">
        <x:v>悟空</x:v>
      </x:c>
      <x:c r="D218" s="24" t="str">
        <x:v>DEFEAT</x:v>
      </x:c>
      <x:c r="E218" s="24" t="str">
        <x:v>失败撤退</x:v>
      </x:c>
      <x:c r="F218" s="24" t="str">
        <x:v>角色被迫撤离或计划失败</x:v>
      </x:c>
      <x:c r="G218" s="24" t="str">
        <x:v>玩家</x:v>
      </x:c>
      <x:c r="H218" s="24" t="str">
        <x:v>挫败</x:v>
      </x:c>
      <x:c r="I218" s="24" t="str">
        <x:v>反思</x:v>
      </x:c>
      <x:c r="J218" s="24" t="n">
        <x:v>4</x:v>
      </x:c>
      <x:c r="K218" s="30" t="str">
        <x:v>今天算他们运气好。下次我会让假身也记住教训。</x:v>
      </x:c>
      <x:c r="L218" s="30" t="str">
        <x:v>保持灵活、俏皮、喜欢挑战性的比喻；避免卡通猴叫与纯搞笑演法</x:v>
      </x:c>
      <x:c r="M218" s="30" t="n">
        <x:v>5</x:v>
      </x:c>
      <x:c r="N218" s="30" t="n">
        <x:v>0</x:v>
      </x:c>
      <x:c r="O218" s="30" t="str">
        <x:v>不限</x:v>
      </x:c>
      <x:c r="P218" s="30" t="str">
        <x:v>不限</x:v>
      </x:c>
      <x:c r="Q218" s="30" t="str">
        <x:v>否</x:v>
      </x:c>
      <x:c r="R218" s="30" t="n">
        <x:v>10</x:v>
      </x:c>
      <x:c r="S218" s="30" t="str">
        <x:v>spirit</x:v>
      </x:c>
      <x:c r="T218" s="30" t="str">
        <x:v>spirit_fate</x:v>
      </x:c>
      <x:c r="U218" s="30" t="n">
        <x:v>3</x:v>
      </x:c>
      <x:c r="V218" s="36" t="str">
        <x:f>A218&amp;".wav"</x:f>
        <x:v>ION_WUKONG_DEFEAT.wav</x:v>
      </x:c>
      <x:c r="W218" s="36" t="str">
        <x:v>待审核</x:v>
      </x:c>
      <x:c r="X218" s="36" t="str"/>
      <x:c r="Y218" s="36" t="str">
        <x:v>https://www.leagueoflegends.com/en-us/champions/monkeyking/</x:v>
      </x:c>
    </x:row>
    <x:row r="219" ht="68" customHeight="1">
      <x:c r="A219" s="24" t="str">
        <x:v>ION_WUKONG_LORE</x:v>
      </x:c>
      <x:c r="B219" s="24" t="str">
        <x:v>wukong</x:v>
      </x:c>
      <x:c r="C219" s="24" t="str">
        <x:v>悟空</x:v>
      </x:c>
      <x:c r="D219" s="24" t="str">
        <x:v>LORE</x:v>
      </x:c>
      <x:c r="E219" s="24" t="str">
        <x:v>世界观讲述</x:v>
      </x:c>
      <x:c r="F219" s="24" t="str">
        <x:v>玩家询问人物、地点或往事</x:v>
      </x:c>
      <x:c r="G219" s="24" t="str">
        <x:v>玩家</x:v>
      </x:c>
      <x:c r="H219" s="24" t="str">
        <x:v>叙述</x:v>
      </x:c>
      <x:c r="I219" s="24" t="str">
        <x:v>怀念</x:v>
      </x:c>
      <x:c r="J219" s="24" t="n">
        <x:v>2</x:v>
      </x:c>
      <x:c r="K219" s="30" t="str">
        <x:v>师父说无极不是为了赢。我还在学，但保护朋友肯定不算用错。</x:v>
      </x:c>
      <x:c r="L219" s="30" t="str">
        <x:v>保持灵活、俏皮、喜欢挑战性的比喻；避免卡通猴叫与纯搞笑演法</x:v>
      </x:c>
      <x:c r="M219" s="30" t="n">
        <x:v>8</x:v>
      </x:c>
      <x:c r="N219" s="30" t="n">
        <x:v>0</x:v>
      </x:c>
      <x:c r="O219" s="30" t="str">
        <x:v>不限</x:v>
      </x:c>
      <x:c r="P219" s="30" t="str">
        <x:v>不限</x:v>
      </x:c>
      <x:c r="Q219" s="30" t="str">
        <x:v>是</x:v>
      </x:c>
      <x:c r="R219" s="30" t="n">
        <x:v>10</x:v>
      </x:c>
      <x:c r="S219" s="30" t="str">
        <x:v>spirit</x:v>
      </x:c>
      <x:c r="T219" s="30" t="str">
        <x:v>spirit_fate</x:v>
      </x:c>
      <x:c r="U219" s="30" t="n">
        <x:v>0</x:v>
      </x:c>
      <x:c r="V219" s="36" t="str">
        <x:f>A219&amp;".wav"</x:f>
        <x:v>ION_WUKONG_LORE.wav</x:v>
      </x:c>
      <x:c r="W219" s="36" t="str">
        <x:v>待审核</x:v>
      </x:c>
      <x:c r="X219" s="36" t="str"/>
      <x:c r="Y219" s="36" t="str">
        <x:v>https://www.leagueoflegends.com/en-us/champions/monkeyking/</x:v>
      </x:c>
    </x:row>
    <x:row r="220" ht="68" customHeight="1">
      <x:c r="A220" s="24" t="str">
        <x:v>ION_WUKONG_FAREWELL</x:v>
      </x:c>
      <x:c r="B220" s="24" t="str">
        <x:v>wukong</x:v>
      </x:c>
      <x:c r="C220" s="24" t="str">
        <x:v>悟空</x:v>
      </x:c>
      <x:c r="D220" s="24" t="str">
        <x:v>FAREWELL</x:v>
      </x:c>
      <x:c r="E220" s="24" t="str">
        <x:v>阶段告别</x:v>
      </x:c>
      <x:c r="F220" s="24" t="str">
        <x:v>事件结束或角色离开队伍</x:v>
      </x:c>
      <x:c r="G220" s="24" t="str">
        <x:v>玩家</x:v>
      </x:c>
      <x:c r="H220" s="24" t="str">
        <x:v>告别</x:v>
      </x:c>
      <x:c r="I220" s="24" t="str">
        <x:v>复杂</x:v>
      </x:c>
      <x:c r="J220" s="24" t="n">
        <x:v>3</x:v>
      </x:c>
      <x:c r="K220" s="30" t="str">
        <x:v>我先去找更强的对手。等你追上来，别忘了带点吃的！</x:v>
      </x:c>
      <x:c r="L220" s="30" t="str">
        <x:v>保持灵活、俏皮、喜欢挑战性的比喻；避免卡通猴叫与纯搞笑演法</x:v>
      </x:c>
      <x:c r="M220" s="30" t="n">
        <x:v>5</x:v>
      </x:c>
      <x:c r="N220" s="30" t="n">
        <x:v>0</x:v>
      </x:c>
      <x:c r="O220" s="30" t="str">
        <x:v>不限</x:v>
      </x:c>
      <x:c r="P220" s="30" t="str">
        <x:v>不限</x:v>
      </x:c>
      <x:c r="Q220" s="30" t="str">
        <x:v>否</x:v>
      </x:c>
      <x:c r="R220" s="30" t="n">
        <x:v>10</x:v>
      </x:c>
      <x:c r="S220" s="30" t="str">
        <x:v>freedom</x:v>
      </x:c>
      <x:c r="T220" s="30" t="str">
        <x:v>wanderer</x:v>
      </x:c>
      <x:c r="U220" s="30" t="n">
        <x:v>3</x:v>
      </x:c>
      <x:c r="V220" s="36" t="str">
        <x:f>A220&amp;".wav"</x:f>
        <x:v>ION_WUKONG_FAREWELL.wav</x:v>
      </x:c>
      <x:c r="W220" s="36" t="str">
        <x:v>待审核</x:v>
      </x:c>
      <x:c r="X220" s="36" t="str"/>
      <x:c r="Y220" s="36" t="str">
        <x:v>https://www.leagueoflegends.com/en-us/champions/monkeyking/</x:v>
      </x:c>
    </x:row>
    <x:row r="221" ht="68" customHeight="1">
      <x:c r="A221" s="24" t="str">
        <x:v>ION_XAYAH_MEET</x:v>
      </x:c>
      <x:c r="B221" s="24" t="str">
        <x:v>xayah</x:v>
      </x:c>
      <x:c r="C221" s="24" t="str">
        <x:v>霞</x:v>
      </x:c>
      <x:c r="D221" s="24" t="str">
        <x:v>MEET</x:v>
      </x:c>
      <x:c r="E221" s="24" t="str">
        <x:v>初次相遇</x:v>
      </x:c>
      <x:c r="F221" s="24" t="str">
        <x:v>玩家第一次接近角色</x:v>
      </x:c>
      <x:c r="G221" s="24" t="str">
        <x:v>玩家</x:v>
      </x:c>
      <x:c r="H221" s="24" t="str">
        <x:v>审视</x:v>
      </x:c>
      <x:c r="I221" s="24" t="str">
        <x:v>中性</x:v>
      </x:c>
      <x:c r="J221" s="24" t="n">
        <x:v>2</x:v>
      </x:c>
      <x:c r="K221" s="30" t="str">
        <x:v>先说清楚，你来这里是迷路，还是又想从瓦斯塔亚手里拿走什么。</x:v>
      </x:c>
      <x:c r="L221" s="30" t="str">
        <x:v>保持短促、讽刺、政治立场清楚；避免只剩冷漠或恋爱语气</x:v>
      </x:c>
      <x:c r="M221" s="30" t="n">
        <x:v>4</x:v>
      </x:c>
      <x:c r="N221" s="30" t="n">
        <x:v>0</x:v>
      </x:c>
      <x:c r="O221" s="30" t="str">
        <x:v>不限</x:v>
      </x:c>
      <x:c r="P221" s="30" t="str">
        <x:v>不限</x:v>
      </x:c>
      <x:c r="Q221" s="30" t="str">
        <x:v>是</x:v>
      </x:c>
      <x:c r="R221" s="30" t="n">
        <x:v>10</x:v>
      </x:c>
      <x:c r="S221" s="30" t="str">
        <x:v>destiny</x:v>
      </x:c>
      <x:c r="T221" s="30" t="str">
        <x:v>breaker</x:v>
      </x:c>
      <x:c r="U221" s="30" t="n">
        <x:v>0</x:v>
      </x:c>
      <x:c r="V221" s="36" t="str">
        <x:f>A221&amp;".wav"</x:f>
        <x:v>ION_XAYAH_MEET.wav</x:v>
      </x:c>
      <x:c r="W221" s="36" t="str">
        <x:v>待审核</x:v>
      </x:c>
      <x:c r="X221" s="36" t="str"/>
      <x:c r="Y221" s="36" t="str">
        <x:v>https://universe.leagueoflegends.com/en_US/champion/xayah/</x:v>
      </x:c>
    </x:row>
    <x:row r="222" ht="68" customHeight="1">
      <x:c r="A222" s="24" t="str">
        <x:v>ION_XAYAH_GREET</x:v>
      </x:c>
      <x:c r="B222" s="24" t="str">
        <x:v>xayah</x:v>
      </x:c>
      <x:c r="C222" s="24" t="str">
        <x:v>霞</x:v>
      </x:c>
      <x:c r="D222" s="24" t="str">
        <x:v>GREET</x:v>
      </x:c>
      <x:c r="E222" s="24" t="str">
        <x:v>友好问候</x:v>
      </x:c>
      <x:c r="F222" s="24" t="str">
        <x:v>关系值达到友好后进入对话</x:v>
      </x:c>
      <x:c r="G222" s="24" t="str">
        <x:v>玩家</x:v>
      </x:c>
      <x:c r="H222" s="24" t="str">
        <x:v>友善</x:v>
      </x:c>
      <x:c r="I222" s="24" t="str">
        <x:v>喜悦</x:v>
      </x:c>
      <x:c r="J222" s="24" t="n">
        <x:v>2</x:v>
      </x:c>
      <x:c r="K222" s="30" t="str">
        <x:v>你守过承诺，所以今天我愿意先听你说完。</x:v>
      </x:c>
      <x:c r="L222" s="30" t="str">
        <x:v>保持短促、讽刺、政治立场清楚；避免只剩冷漠或恋爱语气</x:v>
      </x:c>
      <x:c r="M222" s="30" t="n">
        <x:v>3</x:v>
      </x:c>
      <x:c r="N222" s="30" t="n">
        <x:v>10</x:v>
      </x:c>
      <x:c r="O222" s="30" t="str">
        <x:v>不限</x:v>
      </x:c>
      <x:c r="P222" s="30" t="str">
        <x:v>不限</x:v>
      </x:c>
      <x:c r="Q222" s="30" t="str">
        <x:v>否</x:v>
      </x:c>
      <x:c r="R222" s="30" t="n">
        <x:v>10</x:v>
      </x:c>
      <x:c r="S222" s="30" t="str">
        <x:v>peace</x:v>
      </x:c>
      <x:c r="T222" s="30" t="str">
        <x:v>guardian</x:v>
      </x:c>
      <x:c r="U222" s="30" t="n">
        <x:v>3</x:v>
      </x:c>
      <x:c r="V222" s="36" t="str">
        <x:f>A222&amp;".wav"</x:f>
        <x:v>ION_XAYAH_GREET.wav</x:v>
      </x:c>
      <x:c r="W222" s="36" t="str">
        <x:v>待审核</x:v>
      </x:c>
      <x:c r="X222" s="36" t="str"/>
      <x:c r="Y222" s="36" t="str">
        <x:v>https://universe.leagueoflegends.com/en_US/champion/xayah/</x:v>
      </x:c>
    </x:row>
    <x:row r="223" ht="68" customHeight="1">
      <x:c r="A223" s="24" t="str">
        <x:v>ION_XAYAH_WARN</x:v>
      </x:c>
      <x:c r="B223" s="24" t="str">
        <x:v>xayah</x:v>
      </x:c>
      <x:c r="C223" s="24" t="str">
        <x:v>霞</x:v>
      </x:c>
      <x:c r="D223" s="24" t="str">
        <x:v>WARN</x:v>
      </x:c>
      <x:c r="E223" s="24" t="str">
        <x:v>危险警告</x:v>
      </x:c>
      <x:c r="F223" s="24" t="str">
        <x:v>区域威胁或伏击即将发生</x:v>
      </x:c>
      <x:c r="G223" s="24" t="str">
        <x:v>玩家</x:v>
      </x:c>
      <x:c r="H223" s="24" t="str">
        <x:v>紧张</x:v>
      </x:c>
      <x:c r="I223" s="24" t="str">
        <x:v>警觉</x:v>
      </x:c>
      <x:c r="J223" s="24" t="n">
        <x:v>3</x:v>
      </x:c>
      <x:c r="K223" s="30" t="str">
        <x:v>人类的装置正在抽走野性魔法。我们没多少时间。</x:v>
      </x:c>
      <x:c r="L223" s="30" t="str">
        <x:v>保持短促、讽刺、政治立场清楚；避免只剩冷漠或恋爱语气</x:v>
      </x:c>
      <x:c r="M223" s="30" t="n">
        <x:v>3</x:v>
      </x:c>
      <x:c r="N223" s="30" t="n">
        <x:v>0</x:v>
      </x:c>
      <x:c r="O223" s="30" t="str">
        <x:v>不限</x:v>
      </x:c>
      <x:c r="P223" s="30" t="str">
        <x:v>不限</x:v>
      </x:c>
      <x:c r="Q223" s="30" t="str">
        <x:v>否</x:v>
      </x:c>
      <x:c r="R223" s="30" t="n">
        <x:v>10</x:v>
      </x:c>
      <x:c r="S223" s="30" t="str">
        <x:v>destiny</x:v>
      </x:c>
      <x:c r="T223" s="30" t="str">
        <x:v>breaker</x:v>
      </x:c>
      <x:c r="U223" s="30" t="n">
        <x:v>3</x:v>
      </x:c>
      <x:c r="V223" s="36" t="str">
        <x:f>A223&amp;".wav"</x:f>
        <x:v>ION_XAYAH_WARN.wav</x:v>
      </x:c>
      <x:c r="W223" s="36" t="str">
        <x:v>待审核</x:v>
      </x:c>
      <x:c r="X223" s="36" t="str"/>
      <x:c r="Y223" s="36" t="str">
        <x:v>https://universe.leagueoflegends.com/en_US/champion/xayah/</x:v>
      </x:c>
    </x:row>
    <x:row r="224" ht="68" customHeight="1">
      <x:c r="A224" s="24" t="str">
        <x:v>ION_XAYAH_REFUSE</x:v>
      </x:c>
      <x:c r="B224" s="24" t="str">
        <x:v>xayah</x:v>
      </x:c>
      <x:c r="C224" s="24" t="str">
        <x:v>霞</x:v>
      </x:c>
      <x:c r="D224" s="24" t="str">
        <x:v>REFUSE</x:v>
      </x:c>
      <x:c r="E224" s="24" t="str">
        <x:v>拒绝请求</x:v>
      </x:c>
      <x:c r="F224" s="24" t="str">
        <x:v>玩家请求触碰角色底线</x:v>
      </x:c>
      <x:c r="G224" s="24" t="str">
        <x:v>玩家</x:v>
      </x:c>
      <x:c r="H224" s="24" t="str">
        <x:v>拒绝</x:v>
      </x:c>
      <x:c r="I224" s="24" t="str">
        <x:v>厌恶</x:v>
      </x:c>
      <x:c r="J224" s="24" t="n">
        <x:v>3</x:v>
      </x:c>
      <x:c r="K224" s="30" t="str">
        <x:v>不。我不会拿族人的未来换你们一句迟来的理解。</x:v>
      </x:c>
      <x:c r="L224" s="30" t="str">
        <x:v>保持短促、讽刺、政治立场清楚；避免只剩冷漠或恋爱语气</x:v>
      </x:c>
      <x:c r="M224" s="30" t="n">
        <x:v>4</x:v>
      </x:c>
      <x:c r="N224" s="30" t="n">
        <x:v>-20</x:v>
      </x:c>
      <x:c r="O224" s="30" t="str">
        <x:v>不限</x:v>
      </x:c>
      <x:c r="P224" s="30" t="str">
        <x:v>不限</x:v>
      </x:c>
      <x:c r="Q224" s="30" t="str">
        <x:v>否</x:v>
      </x:c>
      <x:c r="R224" s="30" t="n">
        <x:v>10</x:v>
      </x:c>
      <x:c r="S224" s="30" t="str">
        <x:v>freedom</x:v>
      </x:c>
      <x:c r="T224" s="30" t="str">
        <x:v>wanderer</x:v>
      </x:c>
      <x:c r="U224" s="30" t="n">
        <x:v>3</x:v>
      </x:c>
      <x:c r="V224" s="36" t="str">
        <x:f>A224&amp;".wav"</x:f>
        <x:v>ION_XAYAH_REFUSE.wav</x:v>
      </x:c>
      <x:c r="W224" s="36" t="str">
        <x:v>待审核</x:v>
      </x:c>
      <x:c r="X224" s="36" t="str"/>
      <x:c r="Y224" s="36" t="str">
        <x:v>https://universe.leagueoflegends.com/en_US/champion/xayah/</x:v>
      </x:c>
    </x:row>
    <x:row r="225" ht="68" customHeight="1">
      <x:c r="A225" s="24" t="str">
        <x:v>ION_XAYAH_TRUST</x:v>
      </x:c>
      <x:c r="B225" s="24" t="str">
        <x:v>xayah</x:v>
      </x:c>
      <x:c r="C225" s="24" t="str">
        <x:v>霞</x:v>
      </x:c>
      <x:c r="D225" s="24" t="str">
        <x:v>TRUST</x:v>
      </x:c>
      <x:c r="E225" s="24" t="str">
        <x:v>建立信任</x:v>
      </x:c>
      <x:c r="F225" s="24" t="str">
        <x:v>玩家满足角色的信任条件</x:v>
      </x:c>
      <x:c r="G225" s="24" t="str">
        <x:v>玩家</x:v>
      </x:c>
      <x:c r="H225" s="24" t="str">
        <x:v>信任</x:v>
      </x:c>
      <x:c r="I225" s="24" t="str">
        <x:v>柔和</x:v>
      </x:c>
      <x:c r="J225" s="24" t="n">
        <x:v>3</x:v>
      </x:c>
      <x:c r="K225" s="30" t="str">
        <x:v>洛相信你。我相信他的判断——目前为止。</x:v>
      </x:c>
      <x:c r="L225" s="30" t="str">
        <x:v>保持短促、讽刺、政治立场清楚；避免只剩冷漠或恋爱语气</x:v>
      </x:c>
      <x:c r="M225" s="30" t="n">
        <x:v>5</x:v>
      </x:c>
      <x:c r="N225" s="30" t="n">
        <x:v>40</x:v>
      </x:c>
      <x:c r="O225" s="30" t="str">
        <x:v>不限</x:v>
      </x:c>
      <x:c r="P225" s="30" t="str">
        <x:v>不限</x:v>
      </x:c>
      <x:c r="Q225" s="30" t="str">
        <x:v>是</x:v>
      </x:c>
      <x:c r="R225" s="30" t="n">
        <x:v>10</x:v>
      </x:c>
      <x:c r="S225" s="30" t="str">
        <x:v>peace</x:v>
      </x:c>
      <x:c r="T225" s="30" t="str">
        <x:v>guardian</x:v>
      </x:c>
      <x:c r="U225" s="30" t="n">
        <x:v>0</x:v>
      </x:c>
      <x:c r="V225" s="36" t="str">
        <x:f>A225&amp;".wav"</x:f>
        <x:v>ION_XAYAH_TRUST.wav</x:v>
      </x:c>
      <x:c r="W225" s="36" t="str">
        <x:v>待审核</x:v>
      </x:c>
      <x:c r="X225" s="36" t="str"/>
      <x:c r="Y225" s="36" t="str">
        <x:v>https://universe.leagueoflegends.com/en_US/champion/xayah/</x:v>
      </x:c>
    </x:row>
    <x:row r="226" ht="68" customHeight="1">
      <x:c r="A226" s="24" t="str">
        <x:v>ION_XAYAH_ANGER</x:v>
      </x:c>
      <x:c r="B226" s="24" t="str">
        <x:v>xayah</x:v>
      </x:c>
      <x:c r="C226" s="24" t="str">
        <x:v>霞</x:v>
      </x:c>
      <x:c r="D226" s="24" t="str">
        <x:v>ANGER</x:v>
      </x:c>
      <x:c r="E226" s="24" t="str">
        <x:v>被激怒</x:v>
      </x:c>
      <x:c r="F226" s="24" t="str">
        <x:v>玩家触发角色主要怒点</x:v>
      </x:c>
      <x:c r="G226" s="24" t="str">
        <x:v>玩家</x:v>
      </x:c>
      <x:c r="H226" s="24" t="str">
        <x:v>愤怒</x:v>
      </x:c>
      <x:c r="I226" s="24" t="str">
        <x:v>受伤</x:v>
      </x:c>
      <x:c r="J226" s="24" t="n">
        <x:v>4</x:v>
      </x:c>
      <x:c r="K226" s="30" t="str">
        <x:v>你把掠夺称作发展，再要求被掠夺者保持礼貌？</x:v>
      </x:c>
      <x:c r="L226" s="30" t="str">
        <x:v>保持短促、讽刺、政治立场清楚；避免只剩冷漠或恋爱语气</x:v>
      </x:c>
      <x:c r="M226" s="30" t="n">
        <x:v>4</x:v>
      </x:c>
      <x:c r="N226" s="30" t="n">
        <x:v>-20</x:v>
      </x:c>
      <x:c r="O226" s="30" t="str">
        <x:v>不限</x:v>
      </x:c>
      <x:c r="P226" s="30" t="str">
        <x:v>不限</x:v>
      </x:c>
      <x:c r="Q226" s="30" t="str">
        <x:v>否</x:v>
      </x:c>
      <x:c r="R226" s="30" t="n">
        <x:v>10</x:v>
      </x:c>
      <x:c r="S226" s="30" t="str">
        <x:v>power</x:v>
      </x:c>
      <x:c r="T226" s="30" t="str">
        <x:v>strong</x:v>
      </x:c>
      <x:c r="U226" s="30" t="n">
        <x:v>3</x:v>
      </x:c>
      <x:c r="V226" s="36" t="str">
        <x:f>A226&amp;".wav"</x:f>
        <x:v>ION_XAYAH_ANGER.wav</x:v>
      </x:c>
      <x:c r="W226" s="36" t="str">
        <x:v>待审核</x:v>
      </x:c>
      <x:c r="X226" s="36" t="str"/>
      <x:c r="Y226" s="36" t="str">
        <x:v>https://universe.leagueoflegends.com/en_US/champion/xayah/</x:v>
      </x:c>
    </x:row>
    <x:row r="227" ht="68" customHeight="1">
      <x:c r="A227" s="24" t="str">
        <x:v>ION_XAYAH_HURT</x:v>
      </x:c>
      <x:c r="B227" s="24" t="str">
        <x:v>xayah</x:v>
      </x:c>
      <x:c r="C227" s="24" t="str">
        <x:v>霞</x:v>
      </x:c>
      <x:c r="D227" s="24" t="str">
        <x:v>HURT</x:v>
      </x:c>
      <x:c r="E227" s="24" t="str">
        <x:v>受伤反馈</x:v>
      </x:c>
      <x:c r="F227" s="24" t="str">
        <x:v>角色受到重击但仍可行动</x:v>
      </x:c>
      <x:c r="G227" s="24" t="str">
        <x:v>玩家</x:v>
      </x:c>
      <x:c r="H227" s="24" t="str">
        <x:v>痛苦</x:v>
      </x:c>
      <x:c r="I227" s="24" t="str">
        <x:v>坚持</x:v>
      </x:c>
      <x:c r="J227" s="24" t="n">
        <x:v>4</x:v>
      </x:c>
      <x:c r="K227" s="30" t="str">
        <x:v>羽毛还在我手里，这就够了。</x:v>
      </x:c>
      <x:c r="L227" s="30" t="str">
        <x:v>保持短促、讽刺、政治立场清楚；避免只剩冷漠或恋爱语气</x:v>
      </x:c>
      <x:c r="M227" s="30" t="n">
        <x:v>2</x:v>
      </x:c>
      <x:c r="N227" s="30" t="n">
        <x:v>0</x:v>
      </x:c>
      <x:c r="O227" s="30" t="str">
        <x:v>不限</x:v>
      </x:c>
      <x:c r="P227" s="30" t="str">
        <x:v>不限</x:v>
      </x:c>
      <x:c r="Q227" s="30" t="str">
        <x:v>否</x:v>
      </x:c>
      <x:c r="R227" s="30" t="n">
        <x:v>10</x:v>
      </x:c>
      <x:c r="S227" s="30" t="str">
        <x:v>peace</x:v>
      </x:c>
      <x:c r="T227" s="30" t="str">
        <x:v>guardian</x:v>
      </x:c>
      <x:c r="U227" s="30" t="n">
        <x:v>3</x:v>
      </x:c>
      <x:c r="V227" s="36" t="str">
        <x:f>A227&amp;".wav"</x:f>
        <x:v>ION_XAYAH_HURT.wav</x:v>
      </x:c>
      <x:c r="W227" s="36" t="str">
        <x:v>待审核</x:v>
      </x:c>
      <x:c r="X227" s="36" t="str"/>
      <x:c r="Y227" s="36" t="str">
        <x:v>https://universe.leagueoflegends.com/en_US/champion/xayah/</x:v>
      </x:c>
    </x:row>
    <x:row r="228" ht="68" customHeight="1">
      <x:c r="A228" s="24" t="str">
        <x:v>ION_XAYAH_COMBAT</x:v>
      </x:c>
      <x:c r="B228" s="24" t="str">
        <x:v>xayah</x:v>
      </x:c>
      <x:c r="C228" s="24" t="str">
        <x:v>霞</x:v>
      </x:c>
      <x:c r="D228" s="24" t="str">
        <x:v>COMBAT</x:v>
      </x:c>
      <x:c r="E228" s="24" t="str">
        <x:v>战斗行动</x:v>
      </x:c>
      <x:c r="F228" s="24" t="str">
        <x:v>角色发动标志性行动</x:v>
      </x:c>
      <x:c r="G228" s="24" t="str">
        <x:v>玩家</x:v>
      </x:c>
      <x:c r="H228" s="24" t="str">
        <x:v>战意</x:v>
      </x:c>
      <x:c r="I228" s="24" t="str">
        <x:v>专注</x:v>
      </x:c>
      <x:c r="J228" s="24" t="n">
        <x:v>4</x:v>
      </x:c>
      <x:c r="K228" s="30" t="str">
        <x:v>别踩那些羽刃。它们回来的时候不会绕开你。</x:v>
      </x:c>
      <x:c r="L228" s="30" t="str">
        <x:v>保持短促、讽刺、政治立场清楚；避免只剩冷漠或恋爱语气</x:v>
      </x:c>
      <x:c r="M228" s="30" t="n">
        <x:v>2</x:v>
      </x:c>
      <x:c r="N228" s="30" t="n">
        <x:v>0</x:v>
      </x:c>
      <x:c r="O228" s="30" t="str">
        <x:v>不限</x:v>
      </x:c>
      <x:c r="P228" s="30" t="str">
        <x:v>不限</x:v>
      </x:c>
      <x:c r="Q228" s="30" t="str">
        <x:v>否</x:v>
      </x:c>
      <x:c r="R228" s="30" t="n">
        <x:v>10</x:v>
      </x:c>
      <x:c r="S228" s="30" t="str">
        <x:v>power</x:v>
      </x:c>
      <x:c r="T228" s="30" t="str">
        <x:v>strong</x:v>
      </x:c>
      <x:c r="U228" s="30" t="n">
        <x:v>3</x:v>
      </x:c>
      <x:c r="V228" s="36" t="str">
        <x:f>A228&amp;".wav"</x:f>
        <x:v>ION_XAYAH_COMBAT.wav</x:v>
      </x:c>
      <x:c r="W228" s="36" t="str">
        <x:v>待审核</x:v>
      </x:c>
      <x:c r="X228" s="36" t="str"/>
      <x:c r="Y228" s="36" t="str">
        <x:v>https://universe.leagueoflegends.com/en_US/champion/xayah/</x:v>
      </x:c>
    </x:row>
    <x:row r="229" ht="68" customHeight="1">
      <x:c r="A229" s="24" t="str">
        <x:v>ION_XAYAH_VICTORY</x:v>
      </x:c>
      <x:c r="B229" s="24" t="str">
        <x:v>xayah</x:v>
      </x:c>
      <x:c r="C229" s="24" t="str">
        <x:v>霞</x:v>
      </x:c>
      <x:c r="D229" s="24" t="str">
        <x:v>VICTORY</x:v>
      </x:c>
      <x:c r="E229" s="24" t="str">
        <x:v>战斗胜利</x:v>
      </x:c>
      <x:c r="F229" s="24" t="str">
        <x:v>威胁解除并进入结算</x:v>
      </x:c>
      <x:c r="G229" s="24" t="str">
        <x:v>玩家</x:v>
      </x:c>
      <x:c r="H229" s="24" t="str">
        <x:v>释然</x:v>
      </x:c>
      <x:c r="I229" s="24" t="str">
        <x:v>克制喜悦</x:v>
      </x:c>
      <x:c r="J229" s="24" t="n">
        <x:v>3</x:v>
      </x:c>
      <x:c r="K229" s="30" t="str">
        <x:v>通路恢复了。现在让这片土地自己决定要长成什么。</x:v>
      </x:c>
      <x:c r="L229" s="30" t="str">
        <x:v>保持短促、讽刺、政治立场清楚；避免只剩冷漠或恋爱语气</x:v>
      </x:c>
      <x:c r="M229" s="30" t="n">
        <x:v>4</x:v>
      </x:c>
      <x:c r="N229" s="30" t="n">
        <x:v>0</x:v>
      </x:c>
      <x:c r="O229" s="30" t="str">
        <x:v>不限</x:v>
      </x:c>
      <x:c r="P229" s="30" t="str">
        <x:v>不限</x:v>
      </x:c>
      <x:c r="Q229" s="30" t="str">
        <x:v>否</x:v>
      </x:c>
      <x:c r="R229" s="30" t="n">
        <x:v>10</x:v>
      </x:c>
      <x:c r="S229" s="30" t="str">
        <x:v>destiny</x:v>
      </x:c>
      <x:c r="T229" s="30" t="str">
        <x:v>breaker</x:v>
      </x:c>
      <x:c r="U229" s="30" t="n">
        <x:v>3</x:v>
      </x:c>
      <x:c r="V229" s="36" t="str">
        <x:f>A229&amp;".wav"</x:f>
        <x:v>ION_XAYAH_VICTORY.wav</x:v>
      </x:c>
      <x:c r="W229" s="36" t="str">
        <x:v>待审核</x:v>
      </x:c>
      <x:c r="X229" s="36" t="str"/>
      <x:c r="Y229" s="36" t="str">
        <x:v>https://universe.leagueoflegends.com/en_US/champion/xayah/</x:v>
      </x:c>
    </x:row>
    <x:row r="230" ht="68" customHeight="1">
      <x:c r="A230" s="24" t="str">
        <x:v>ION_XAYAH_DEFEAT</x:v>
      </x:c>
      <x:c r="B230" s="24" t="str">
        <x:v>xayah</x:v>
      </x:c>
      <x:c r="C230" s="24" t="str">
        <x:v>霞</x:v>
      </x:c>
      <x:c r="D230" s="24" t="str">
        <x:v>DEFEAT</x:v>
      </x:c>
      <x:c r="E230" s="24" t="str">
        <x:v>失败撤退</x:v>
      </x:c>
      <x:c r="F230" s="24" t="str">
        <x:v>角色被迫撤离或计划失败</x:v>
      </x:c>
      <x:c r="G230" s="24" t="str">
        <x:v>玩家</x:v>
      </x:c>
      <x:c r="H230" s="24" t="str">
        <x:v>挫败</x:v>
      </x:c>
      <x:c r="I230" s="24" t="str">
        <x:v>反思</x:v>
      </x:c>
      <x:c r="J230" s="24" t="n">
        <x:v>4</x:v>
      </x:c>
      <x:c r="K230" s="30" t="str">
        <x:v>陷阱太密。撤出去，我不会把族人的命浪费在证明勇敢上。</x:v>
      </x:c>
      <x:c r="L230" s="30" t="str">
        <x:v>保持短促、讽刺、政治立场清楚；避免只剩冷漠或恋爱语气</x:v>
      </x:c>
      <x:c r="M230" s="30" t="n">
        <x:v>5</x:v>
      </x:c>
      <x:c r="N230" s="30" t="n">
        <x:v>0</x:v>
      </x:c>
      <x:c r="O230" s="30" t="str">
        <x:v>不限</x:v>
      </x:c>
      <x:c r="P230" s="30" t="str">
        <x:v>不限</x:v>
      </x:c>
      <x:c r="Q230" s="30" t="str">
        <x:v>否</x:v>
      </x:c>
      <x:c r="R230" s="30" t="n">
        <x:v>10</x:v>
      </x:c>
      <x:c r="S230" s="30" t="str">
        <x:v>spirit</x:v>
      </x:c>
      <x:c r="T230" s="30" t="str">
        <x:v>spirit_fate</x:v>
      </x:c>
      <x:c r="U230" s="30" t="n">
        <x:v>3</x:v>
      </x:c>
      <x:c r="V230" s="36" t="str">
        <x:f>A230&amp;".wav"</x:f>
        <x:v>ION_XAYAH_DEFEAT.wav</x:v>
      </x:c>
      <x:c r="W230" s="36" t="str">
        <x:v>待审核</x:v>
      </x:c>
      <x:c r="X230" s="36" t="str"/>
      <x:c r="Y230" s="36" t="str">
        <x:v>https://universe.leagueoflegends.com/en_US/champion/xayah/</x:v>
      </x:c>
    </x:row>
    <x:row r="231" ht="68" customHeight="1">
      <x:c r="A231" s="24" t="str">
        <x:v>ION_XAYAH_LORE</x:v>
      </x:c>
      <x:c r="B231" s="24" t="str">
        <x:v>xayah</x:v>
      </x:c>
      <x:c r="C231" s="24" t="str">
        <x:v>霞</x:v>
      </x:c>
      <x:c r="D231" s="24" t="str">
        <x:v>LORE</x:v>
      </x:c>
      <x:c r="E231" s="24" t="str">
        <x:v>世界观讲述</x:v>
      </x:c>
      <x:c r="F231" s="24" t="str">
        <x:v>玩家询问人物、地点或往事</x:v>
      </x:c>
      <x:c r="G231" s="24" t="str">
        <x:v>玩家</x:v>
      </x:c>
      <x:c r="H231" s="24" t="str">
        <x:v>叙述</x:v>
      </x:c>
      <x:c r="I231" s="24" t="str">
        <x:v>怀念</x:v>
      </x:c>
      <x:c r="J231" s="24" t="n">
        <x:v>2</x:v>
      </x:c>
      <x:c r="K231" s="30" t="str">
        <x:v>瓦斯塔亚反抗的不是人类存在，而是人类认为所有魔法都应当属于他们。</x:v>
      </x:c>
      <x:c r="L231" s="30" t="str">
        <x:v>保持短促、讽刺、政治立场清楚；避免只剩冷漠或恋爱语气</x:v>
      </x:c>
      <x:c r="M231" s="30" t="n">
        <x:v>8</x:v>
      </x:c>
      <x:c r="N231" s="30" t="n">
        <x:v>0</x:v>
      </x:c>
      <x:c r="O231" s="30" t="str">
        <x:v>不限</x:v>
      </x:c>
      <x:c r="P231" s="30" t="str">
        <x:v>不限</x:v>
      </x:c>
      <x:c r="Q231" s="30" t="str">
        <x:v>是</x:v>
      </x:c>
      <x:c r="R231" s="30" t="n">
        <x:v>10</x:v>
      </x:c>
      <x:c r="S231" s="30" t="str">
        <x:v>spirit</x:v>
      </x:c>
      <x:c r="T231" s="30" t="str">
        <x:v>spirit_fate</x:v>
      </x:c>
      <x:c r="U231" s="30" t="n">
        <x:v>0</x:v>
      </x:c>
      <x:c r="V231" s="36" t="str">
        <x:f>A231&amp;".wav"</x:f>
        <x:v>ION_XAYAH_LORE.wav</x:v>
      </x:c>
      <x:c r="W231" s="36" t="str">
        <x:v>待审核</x:v>
      </x:c>
      <x:c r="X231" s="36" t="str"/>
      <x:c r="Y231" s="36" t="str">
        <x:v>https://universe.leagueoflegends.com/en_US/champion/xayah/</x:v>
      </x:c>
    </x:row>
    <x:row r="232" ht="68" customHeight="1">
      <x:c r="A232" s="24" t="str">
        <x:v>ION_XAYAH_FAREWELL</x:v>
      </x:c>
      <x:c r="B232" s="24" t="str">
        <x:v>xayah</x:v>
      </x:c>
      <x:c r="C232" s="24" t="str">
        <x:v>霞</x:v>
      </x:c>
      <x:c r="D232" s="24" t="str">
        <x:v>FAREWELL</x:v>
      </x:c>
      <x:c r="E232" s="24" t="str">
        <x:v>阶段告别</x:v>
      </x:c>
      <x:c r="F232" s="24" t="str">
        <x:v>事件结束或角色离开队伍</x:v>
      </x:c>
      <x:c r="G232" s="24" t="str">
        <x:v>玩家</x:v>
      </x:c>
      <x:c r="H232" s="24" t="str">
        <x:v>告别</x:v>
      </x:c>
      <x:c r="I232" s="24" t="str">
        <x:v>复杂</x:v>
      </x:c>
      <x:c r="J232" s="24" t="n">
        <x:v>3</x:v>
      </x:c>
      <x:c r="K232" s="30" t="str">
        <x:v>我要和洛去下一个魔法节点。别让我们回来处理同一个问题。</x:v>
      </x:c>
      <x:c r="L232" s="30" t="str">
        <x:v>保持短促、讽刺、政治立场清楚；避免只剩冷漠或恋爱语气</x:v>
      </x:c>
      <x:c r="M232" s="30" t="n">
        <x:v>5</x:v>
      </x:c>
      <x:c r="N232" s="30" t="n">
        <x:v>0</x:v>
      </x:c>
      <x:c r="O232" s="30" t="str">
        <x:v>不限</x:v>
      </x:c>
      <x:c r="P232" s="30" t="str">
        <x:v>不限</x:v>
      </x:c>
      <x:c r="Q232" s="30" t="str">
        <x:v>否</x:v>
      </x:c>
      <x:c r="R232" s="30" t="n">
        <x:v>10</x:v>
      </x:c>
      <x:c r="S232" s="30" t="str">
        <x:v>freedom</x:v>
      </x:c>
      <x:c r="T232" s="30" t="str">
        <x:v>wanderer</x:v>
      </x:c>
      <x:c r="U232" s="30" t="n">
        <x:v>3</x:v>
      </x:c>
      <x:c r="V232" s="36" t="str">
        <x:f>A232&amp;".wav"</x:f>
        <x:v>ION_XAYAH_FAREWELL.wav</x:v>
      </x:c>
      <x:c r="W232" s="36" t="str">
        <x:v>待审核</x:v>
      </x:c>
      <x:c r="X232" s="36" t="str"/>
      <x:c r="Y232" s="36" t="str">
        <x:v>https://universe.leagueoflegends.com/en_US/champion/xayah/</x:v>
      </x:c>
    </x:row>
    <x:row r="233" ht="68" customHeight="1">
      <x:c r="A233" s="24" t="str">
        <x:v>ION_YASUO_MEET</x:v>
      </x:c>
      <x:c r="B233" s="24" t="str">
        <x:v>yasuo</x:v>
      </x:c>
      <x:c r="C233" s="24" t="str">
        <x:v>亚索</x:v>
      </x:c>
      <x:c r="D233" s="24" t="str">
        <x:v>MEET</x:v>
      </x:c>
      <x:c r="E233" s="24" t="str">
        <x:v>初次相遇</x:v>
      </x:c>
      <x:c r="F233" s="24" t="str">
        <x:v>玩家第一次接近角色</x:v>
      </x:c>
      <x:c r="G233" s="24" t="str">
        <x:v>玩家</x:v>
      </x:c>
      <x:c r="H233" s="24" t="str">
        <x:v>审视</x:v>
      </x:c>
      <x:c r="I233" s="24" t="str">
        <x:v>中性</x:v>
      </x:c>
      <x:c r="J233" s="24" t="n">
        <x:v>2</x:v>
      </x:c>
      <x:c r="K233" s="30" t="str">
        <x:v>我只是路过。你若也没有目的，我们可以共享一段沉默。</x:v>
      </x:c>
      <x:c r="L233" s="30" t="str">
        <x:v>保持简短、风与酒意象、带自嘲；避免刻意沧桑和醉汉化</x:v>
      </x:c>
      <x:c r="M233" s="30" t="n">
        <x:v>4</x:v>
      </x:c>
      <x:c r="N233" s="30" t="n">
        <x:v>0</x:v>
      </x:c>
      <x:c r="O233" s="30" t="str">
        <x:v>不限</x:v>
      </x:c>
      <x:c r="P233" s="30" t="str">
        <x:v>不限</x:v>
      </x:c>
      <x:c r="Q233" s="30" t="str">
        <x:v>是</x:v>
      </x:c>
      <x:c r="R233" s="30" t="n">
        <x:v>10</x:v>
      </x:c>
      <x:c r="S233" s="30" t="str">
        <x:v>destiny</x:v>
      </x:c>
      <x:c r="T233" s="30" t="str">
        <x:v>breaker</x:v>
      </x:c>
      <x:c r="U233" s="30" t="n">
        <x:v>0</x:v>
      </x:c>
      <x:c r="V233" s="36" t="str">
        <x:f>A233&amp;".wav"</x:f>
        <x:v>ION_YASUO_MEET.wav</x:v>
      </x:c>
      <x:c r="W233" s="36" t="str">
        <x:v>待审核</x:v>
      </x:c>
      <x:c r="X233" s="36" t="str"/>
      <x:c r="Y233" s="36" t="str">
        <x:v>https://universe.leagueoflegends.com/en_US/story/champion/yasuo</x:v>
      </x:c>
    </x:row>
    <x:row r="234" ht="68" customHeight="1">
      <x:c r="A234" s="24" t="str">
        <x:v>ION_YASUO_GREET</x:v>
      </x:c>
      <x:c r="B234" s="24" t="str">
        <x:v>yasuo</x:v>
      </x:c>
      <x:c r="C234" s="24" t="str">
        <x:v>亚索</x:v>
      </x:c>
      <x:c r="D234" s="24" t="str">
        <x:v>GREET</x:v>
      </x:c>
      <x:c r="E234" s="24" t="str">
        <x:v>友好问候</x:v>
      </x:c>
      <x:c r="F234" s="24" t="str">
        <x:v>关系值达到友好后进入对话</x:v>
      </x:c>
      <x:c r="G234" s="24" t="str">
        <x:v>玩家</x:v>
      </x:c>
      <x:c r="H234" s="24" t="str">
        <x:v>友善</x:v>
      </x:c>
      <x:c r="I234" s="24" t="str">
        <x:v>喜悦</x:v>
      </x:c>
      <x:c r="J234" s="24" t="n">
        <x:v>2</x:v>
      </x:c>
      <x:c r="K234" s="30" t="str">
        <x:v>还在走？很好。很多答案只肯出现在没停下的人面前。</x:v>
      </x:c>
      <x:c r="L234" s="30" t="str">
        <x:v>保持简短、风与酒意象、带自嘲；避免刻意沧桑和醉汉化</x:v>
      </x:c>
      <x:c r="M234" s="30" t="n">
        <x:v>3</x:v>
      </x:c>
      <x:c r="N234" s="30" t="n">
        <x:v>10</x:v>
      </x:c>
      <x:c r="O234" s="30" t="str">
        <x:v>不限</x:v>
      </x:c>
      <x:c r="P234" s="30" t="str">
        <x:v>不限</x:v>
      </x:c>
      <x:c r="Q234" s="30" t="str">
        <x:v>否</x:v>
      </x:c>
      <x:c r="R234" s="30" t="n">
        <x:v>10</x:v>
      </x:c>
      <x:c r="S234" s="30" t="str">
        <x:v>peace</x:v>
      </x:c>
      <x:c r="T234" s="30" t="str">
        <x:v>guardian</x:v>
      </x:c>
      <x:c r="U234" s="30" t="n">
        <x:v>3</x:v>
      </x:c>
      <x:c r="V234" s="36" t="str">
        <x:f>A234&amp;".wav"</x:f>
        <x:v>ION_YASUO_GREET.wav</x:v>
      </x:c>
      <x:c r="W234" s="36" t="str">
        <x:v>待审核</x:v>
      </x:c>
      <x:c r="X234" s="36" t="str"/>
      <x:c r="Y234" s="36" t="str">
        <x:v>https://universe.leagueoflegends.com/en_US/story/champion/yasuo</x:v>
      </x:c>
    </x:row>
    <x:row r="235" ht="68" customHeight="1">
      <x:c r="A235" s="24" t="str">
        <x:v>ION_YASUO_WARN</x:v>
      </x:c>
      <x:c r="B235" s="24" t="str">
        <x:v>yasuo</x:v>
      </x:c>
      <x:c r="C235" s="24" t="str">
        <x:v>亚索</x:v>
      </x:c>
      <x:c r="D235" s="24" t="str">
        <x:v>WARN</x:v>
      </x:c>
      <x:c r="E235" s="24" t="str">
        <x:v>危险警告</x:v>
      </x:c>
      <x:c r="F235" s="24" t="str">
        <x:v>区域威胁或伏击即将发生</x:v>
      </x:c>
      <x:c r="G235" s="24" t="str">
        <x:v>玩家</x:v>
      </x:c>
      <x:c r="H235" s="24" t="str">
        <x:v>紧张</x:v>
      </x:c>
      <x:c r="I235" s="24" t="str">
        <x:v>警觉</x:v>
      </x:c>
      <x:c r="J235" s="24" t="n">
        <x:v>3</x:v>
      </x:c>
      <x:c r="K235" s="30" t="str">
        <x:v>风绕开了前面的林子。有人在那里等我们。</x:v>
      </x:c>
      <x:c r="L235" s="30" t="str">
        <x:v>保持简短、风与酒意象、带自嘲；避免刻意沧桑和醉汉化</x:v>
      </x:c>
      <x:c r="M235" s="30" t="n">
        <x:v>3</x:v>
      </x:c>
      <x:c r="N235" s="30" t="n">
        <x:v>0</x:v>
      </x:c>
      <x:c r="O235" s="30" t="str">
        <x:v>不限</x:v>
      </x:c>
      <x:c r="P235" s="30" t="str">
        <x:v>不限</x:v>
      </x:c>
      <x:c r="Q235" s="30" t="str">
        <x:v>否</x:v>
      </x:c>
      <x:c r="R235" s="30" t="n">
        <x:v>10</x:v>
      </x:c>
      <x:c r="S235" s="30" t="str">
        <x:v>destiny</x:v>
      </x:c>
      <x:c r="T235" s="30" t="str">
        <x:v>breaker</x:v>
      </x:c>
      <x:c r="U235" s="30" t="n">
        <x:v>3</x:v>
      </x:c>
      <x:c r="V235" s="36" t="str">
        <x:f>A235&amp;".wav"</x:f>
        <x:v>ION_YASUO_WARN.wav</x:v>
      </x:c>
      <x:c r="W235" s="36" t="str">
        <x:v>待审核</x:v>
      </x:c>
      <x:c r="X235" s="36" t="str"/>
      <x:c r="Y235" s="36" t="str">
        <x:v>https://universe.leagueoflegends.com/en_US/story/champion/yasuo</x:v>
      </x:c>
    </x:row>
    <x:row r="236" ht="68" customHeight="1">
      <x:c r="A236" s="24" t="str">
        <x:v>ION_YASUO_REFUSE</x:v>
      </x:c>
      <x:c r="B236" s="24" t="str">
        <x:v>yasuo</x:v>
      </x:c>
      <x:c r="C236" s="24" t="str">
        <x:v>亚索</x:v>
      </x:c>
      <x:c r="D236" s="24" t="str">
        <x:v>REFUSE</x:v>
      </x:c>
      <x:c r="E236" s="24" t="str">
        <x:v>拒绝请求</x:v>
      </x:c>
      <x:c r="F236" s="24" t="str">
        <x:v>玩家请求触碰角色底线</x:v>
      </x:c>
      <x:c r="G236" s="24" t="str">
        <x:v>玩家</x:v>
      </x:c>
      <x:c r="H236" s="24" t="str">
        <x:v>拒绝</x:v>
      </x:c>
      <x:c r="I236" s="24" t="str">
        <x:v>厌恶</x:v>
      </x:c>
      <x:c r="J236" s="24" t="n">
        <x:v>3</x:v>
      </x:c>
      <x:c r="K236" s="30" t="str">
        <x:v>这件事闻起来像别人的罪名。我不再替它拔剑。</x:v>
      </x:c>
      <x:c r="L236" s="30" t="str">
        <x:v>保持简短、风与酒意象、带自嘲；避免刻意沧桑和醉汉化</x:v>
      </x:c>
      <x:c r="M236" s="30" t="n">
        <x:v>4</x:v>
      </x:c>
      <x:c r="N236" s="30" t="n">
        <x:v>-20</x:v>
      </x:c>
      <x:c r="O236" s="30" t="str">
        <x:v>不限</x:v>
      </x:c>
      <x:c r="P236" s="30" t="str">
        <x:v>不限</x:v>
      </x:c>
      <x:c r="Q236" s="30" t="str">
        <x:v>否</x:v>
      </x:c>
      <x:c r="R236" s="30" t="n">
        <x:v>10</x:v>
      </x:c>
      <x:c r="S236" s="30" t="str">
        <x:v>freedom</x:v>
      </x:c>
      <x:c r="T236" s="30" t="str">
        <x:v>wanderer</x:v>
      </x:c>
      <x:c r="U236" s="30" t="n">
        <x:v>3</x:v>
      </x:c>
      <x:c r="V236" s="36" t="str">
        <x:f>A236&amp;".wav"</x:f>
        <x:v>ION_YASUO_REFUSE.wav</x:v>
      </x:c>
      <x:c r="W236" s="36" t="str">
        <x:v>待审核</x:v>
      </x:c>
      <x:c r="X236" s="36" t="str"/>
      <x:c r="Y236" s="36" t="str">
        <x:v>https://universe.leagueoflegends.com/en_US/story/champion/yasuo</x:v>
      </x:c>
    </x:row>
    <x:row r="237" ht="68" customHeight="1">
      <x:c r="A237" s="24" t="str">
        <x:v>ION_YASUO_TRUST</x:v>
      </x:c>
      <x:c r="B237" s="24" t="str">
        <x:v>yasuo</x:v>
      </x:c>
      <x:c r="C237" s="24" t="str">
        <x:v>亚索</x:v>
      </x:c>
      <x:c r="D237" s="24" t="str">
        <x:v>TRUST</x:v>
      </x:c>
      <x:c r="E237" s="24" t="str">
        <x:v>建立信任</x:v>
      </x:c>
      <x:c r="F237" s="24" t="str">
        <x:v>玩家满足角色的信任条件</x:v>
      </x:c>
      <x:c r="G237" s="24" t="str">
        <x:v>玩家</x:v>
      </x:c>
      <x:c r="H237" s="24" t="str">
        <x:v>信任</x:v>
      </x:c>
      <x:c r="I237" s="24" t="str">
        <x:v>柔和</x:v>
      </x:c>
      <x:c r="J237" s="24" t="n">
        <x:v>3</x:v>
      </x:c>
      <x:c r="K237" s="30" t="str">
        <x:v>左边交给你。别问为什么，风已经替我选过一次。</x:v>
      </x:c>
      <x:c r="L237" s="30" t="str">
        <x:v>保持简短、风与酒意象、带自嘲；避免刻意沧桑和醉汉化</x:v>
      </x:c>
      <x:c r="M237" s="30" t="n">
        <x:v>5</x:v>
      </x:c>
      <x:c r="N237" s="30" t="n">
        <x:v>40</x:v>
      </x:c>
      <x:c r="O237" s="30" t="str">
        <x:v>不限</x:v>
      </x:c>
      <x:c r="P237" s="30" t="str">
        <x:v>不限</x:v>
      </x:c>
      <x:c r="Q237" s="30" t="str">
        <x:v>是</x:v>
      </x:c>
      <x:c r="R237" s="30" t="n">
        <x:v>10</x:v>
      </x:c>
      <x:c r="S237" s="30" t="str">
        <x:v>peace</x:v>
      </x:c>
      <x:c r="T237" s="30" t="str">
        <x:v>guardian</x:v>
      </x:c>
      <x:c r="U237" s="30" t="n">
        <x:v>0</x:v>
      </x:c>
      <x:c r="V237" s="36" t="str">
        <x:f>A237&amp;".wav"</x:f>
        <x:v>ION_YASUO_TRUST.wav</x:v>
      </x:c>
      <x:c r="W237" s="36" t="str">
        <x:v>待审核</x:v>
      </x:c>
      <x:c r="X237" s="36" t="str"/>
      <x:c r="Y237" s="36" t="str">
        <x:v>https://universe.leagueoflegends.com/en_US/story/champion/yasuo</x:v>
      </x:c>
    </x:row>
    <x:row r="238" ht="68" customHeight="1">
      <x:c r="A238" s="24" t="str">
        <x:v>ION_YASUO_ANGER</x:v>
      </x:c>
      <x:c r="B238" s="24" t="str">
        <x:v>yasuo</x:v>
      </x:c>
      <x:c r="C238" s="24" t="str">
        <x:v>亚索</x:v>
      </x:c>
      <x:c r="D238" s="24" t="str">
        <x:v>ANGER</x:v>
      </x:c>
      <x:c r="E238" s="24" t="str">
        <x:v>被激怒</x:v>
      </x:c>
      <x:c r="F238" s="24" t="str">
        <x:v>玩家触发角色主要怒点</x:v>
      </x:c>
      <x:c r="G238" s="24" t="str">
        <x:v>玩家</x:v>
      </x:c>
      <x:c r="H238" s="24" t="str">
        <x:v>愤怒</x:v>
      </x:c>
      <x:c r="I238" s="24" t="str">
        <x:v>受伤</x:v>
      </x:c>
      <x:c r="J238" s="24" t="n">
        <x:v>4</x:v>
      </x:c>
      <x:c r="K238" s="30" t="str">
        <x:v>别拿荣誉审判你不了解的选择。它已经害过够多人。</x:v>
      </x:c>
      <x:c r="L238" s="30" t="str">
        <x:v>保持简短、风与酒意象、带自嘲；避免刻意沧桑和醉汉化</x:v>
      </x:c>
      <x:c r="M238" s="30" t="n">
        <x:v>4</x:v>
      </x:c>
      <x:c r="N238" s="30" t="n">
        <x:v>-20</x:v>
      </x:c>
      <x:c r="O238" s="30" t="str">
        <x:v>不限</x:v>
      </x:c>
      <x:c r="P238" s="30" t="str">
        <x:v>不限</x:v>
      </x:c>
      <x:c r="Q238" s="30" t="str">
        <x:v>否</x:v>
      </x:c>
      <x:c r="R238" s="30" t="n">
        <x:v>10</x:v>
      </x:c>
      <x:c r="S238" s="30" t="str">
        <x:v>power</x:v>
      </x:c>
      <x:c r="T238" s="30" t="str">
        <x:v>strong</x:v>
      </x:c>
      <x:c r="U238" s="30" t="n">
        <x:v>3</x:v>
      </x:c>
      <x:c r="V238" s="36" t="str">
        <x:f>A238&amp;".wav"</x:f>
        <x:v>ION_YASUO_ANGER.wav</x:v>
      </x:c>
      <x:c r="W238" s="36" t="str">
        <x:v>待审核</x:v>
      </x:c>
      <x:c r="X238" s="36" t="str"/>
      <x:c r="Y238" s="36" t="str">
        <x:v>https://universe.leagueoflegends.com/en_US/story/champion/yasuo</x:v>
      </x:c>
    </x:row>
    <x:row r="239" ht="68" customHeight="1">
      <x:c r="A239" s="24" t="str">
        <x:v>ION_YASUO_HURT</x:v>
      </x:c>
      <x:c r="B239" s="24" t="str">
        <x:v>yasuo</x:v>
      </x:c>
      <x:c r="C239" s="24" t="str">
        <x:v>亚索</x:v>
      </x:c>
      <x:c r="D239" s="24" t="str">
        <x:v>HURT</x:v>
      </x:c>
      <x:c r="E239" s="24" t="str">
        <x:v>受伤反馈</x:v>
      </x:c>
      <x:c r="F239" s="24" t="str">
        <x:v>角色受到重击但仍可行动</x:v>
      </x:c>
      <x:c r="G239" s="24" t="str">
        <x:v>玩家</x:v>
      </x:c>
      <x:c r="H239" s="24" t="str">
        <x:v>痛苦</x:v>
      </x:c>
      <x:c r="I239" s="24" t="str">
        <x:v>坚持</x:v>
      </x:c>
      <x:c r="J239" s="24" t="n">
        <x:v>4</x:v>
      </x:c>
      <x:c r="K239" s="30" t="str">
        <x:v>旧伤，不值得停。新错误才值得。</x:v>
      </x:c>
      <x:c r="L239" s="30" t="str">
        <x:v>保持简短、风与酒意象、带自嘲；避免刻意沧桑和醉汉化</x:v>
      </x:c>
      <x:c r="M239" s="30" t="n">
        <x:v>2</x:v>
      </x:c>
      <x:c r="N239" s="30" t="n">
        <x:v>0</x:v>
      </x:c>
      <x:c r="O239" s="30" t="str">
        <x:v>不限</x:v>
      </x:c>
      <x:c r="P239" s="30" t="str">
        <x:v>不限</x:v>
      </x:c>
      <x:c r="Q239" s="30" t="str">
        <x:v>否</x:v>
      </x:c>
      <x:c r="R239" s="30" t="n">
        <x:v>10</x:v>
      </x:c>
      <x:c r="S239" s="30" t="str">
        <x:v>peace</x:v>
      </x:c>
      <x:c r="T239" s="30" t="str">
        <x:v>guardian</x:v>
      </x:c>
      <x:c r="U239" s="30" t="n">
        <x:v>3</x:v>
      </x:c>
      <x:c r="V239" s="36" t="str">
        <x:f>A239&amp;".wav"</x:f>
        <x:v>ION_YASUO_HURT.wav</x:v>
      </x:c>
      <x:c r="W239" s="36" t="str">
        <x:v>待审核</x:v>
      </x:c>
      <x:c r="X239" s="36" t="str"/>
      <x:c r="Y239" s="36" t="str">
        <x:v>https://universe.leagueoflegends.com/en_US/story/champion/yasuo</x:v>
      </x:c>
    </x:row>
    <x:row r="240" ht="68" customHeight="1">
      <x:c r="A240" s="24" t="str">
        <x:v>ION_YASUO_COMBAT</x:v>
      </x:c>
      <x:c r="B240" s="24" t="str">
        <x:v>yasuo</x:v>
      </x:c>
      <x:c r="C240" s="24" t="str">
        <x:v>亚索</x:v>
      </x:c>
      <x:c r="D240" s="24" t="str">
        <x:v>COMBAT</x:v>
      </x:c>
      <x:c r="E240" s="24" t="str">
        <x:v>战斗行动</x:v>
      </x:c>
      <x:c r="F240" s="24" t="str">
        <x:v>角色发动标志性行动</x:v>
      </x:c>
      <x:c r="G240" s="24" t="str">
        <x:v>玩家</x:v>
      </x:c>
      <x:c r="H240" s="24" t="str">
        <x:v>战意</x:v>
      </x:c>
      <x:c r="I240" s="24" t="str">
        <x:v>专注</x:v>
      </x:c>
      <x:c r="J240" s="24" t="n">
        <x:v>4</x:v>
      </x:c>
      <x:c r="K240" s="30" t="str">
        <x:v>听风。它会先告诉你刀从哪里来。</x:v>
      </x:c>
      <x:c r="L240" s="30" t="str">
        <x:v>保持简短、风与酒意象、带自嘲；避免刻意沧桑和醉汉化</x:v>
      </x:c>
      <x:c r="M240" s="30" t="n">
        <x:v>2</x:v>
      </x:c>
      <x:c r="N240" s="30" t="n">
        <x:v>0</x:v>
      </x:c>
      <x:c r="O240" s="30" t="str">
        <x:v>不限</x:v>
      </x:c>
      <x:c r="P240" s="30" t="str">
        <x:v>不限</x:v>
      </x:c>
      <x:c r="Q240" s="30" t="str">
        <x:v>否</x:v>
      </x:c>
      <x:c r="R240" s="30" t="n">
        <x:v>10</x:v>
      </x:c>
      <x:c r="S240" s="30" t="str">
        <x:v>power</x:v>
      </x:c>
      <x:c r="T240" s="30" t="str">
        <x:v>strong</x:v>
      </x:c>
      <x:c r="U240" s="30" t="n">
        <x:v>3</x:v>
      </x:c>
      <x:c r="V240" s="36" t="str">
        <x:f>A240&amp;".wav"</x:f>
        <x:v>ION_YASUO_COMBAT.wav</x:v>
      </x:c>
      <x:c r="W240" s="36" t="str">
        <x:v>待审核</x:v>
      </x:c>
      <x:c r="X240" s="36" t="str"/>
      <x:c r="Y240" s="36" t="str">
        <x:v>https://universe.leagueoflegends.com/en_US/story/champion/yasuo</x:v>
      </x:c>
    </x:row>
    <x:row r="241" ht="68" customHeight="1">
      <x:c r="A241" s="24" t="str">
        <x:v>ION_YASUO_VICTORY</x:v>
      </x:c>
      <x:c r="B241" s="24" t="str">
        <x:v>yasuo</x:v>
      </x:c>
      <x:c r="C241" s="24" t="str">
        <x:v>亚索</x:v>
      </x:c>
      <x:c r="D241" s="24" t="str">
        <x:v>VICTORY</x:v>
      </x:c>
      <x:c r="E241" s="24" t="str">
        <x:v>战斗胜利</x:v>
      </x:c>
      <x:c r="F241" s="24" t="str">
        <x:v>威胁解除并进入结算</x:v>
      </x:c>
      <x:c r="G241" s="24" t="str">
        <x:v>玩家</x:v>
      </x:c>
      <x:c r="H241" s="24" t="str">
        <x:v>释然</x:v>
      </x:c>
      <x:c r="I241" s="24" t="str">
        <x:v>克制喜悦</x:v>
      </x:c>
      <x:c r="J241" s="24" t="n">
        <x:v>3</x:v>
      </x:c>
      <x:c r="K241" s="30" t="str">
        <x:v>结束了。酒若还在，就敬那些没能走到这里的人。</x:v>
      </x:c>
      <x:c r="L241" s="30" t="str">
        <x:v>保持简短、风与酒意象、带自嘲；避免刻意沧桑和醉汉化</x:v>
      </x:c>
      <x:c r="M241" s="30" t="n">
        <x:v>4</x:v>
      </x:c>
      <x:c r="N241" s="30" t="n">
        <x:v>0</x:v>
      </x:c>
      <x:c r="O241" s="30" t="str">
        <x:v>不限</x:v>
      </x:c>
      <x:c r="P241" s="30" t="str">
        <x:v>不限</x:v>
      </x:c>
      <x:c r="Q241" s="30" t="str">
        <x:v>否</x:v>
      </x:c>
      <x:c r="R241" s="30" t="n">
        <x:v>10</x:v>
      </x:c>
      <x:c r="S241" s="30" t="str">
        <x:v>destiny</x:v>
      </x:c>
      <x:c r="T241" s="30" t="str">
        <x:v>breaker</x:v>
      </x:c>
      <x:c r="U241" s="30" t="n">
        <x:v>3</x:v>
      </x:c>
      <x:c r="V241" s="36" t="str">
        <x:f>A241&amp;".wav"</x:f>
        <x:v>ION_YASUO_VICTORY.wav</x:v>
      </x:c>
      <x:c r="W241" s="36" t="str">
        <x:v>待审核</x:v>
      </x:c>
      <x:c r="X241" s="36" t="str"/>
      <x:c r="Y241" s="36" t="str">
        <x:v>https://universe.leagueoflegends.com/en_US/story/champion/yasuo</x:v>
      </x:c>
    </x:row>
    <x:row r="242" ht="68" customHeight="1">
      <x:c r="A242" s="24" t="str">
        <x:v>ION_YASUO_DEFEAT</x:v>
      </x:c>
      <x:c r="B242" s="24" t="str">
        <x:v>yasuo</x:v>
      </x:c>
      <x:c r="C242" s="24" t="str">
        <x:v>亚索</x:v>
      </x:c>
      <x:c r="D242" s="24" t="str">
        <x:v>DEFEAT</x:v>
      </x:c>
      <x:c r="E242" s="24" t="str">
        <x:v>失败撤退</x:v>
      </x:c>
      <x:c r="F242" s="24" t="str">
        <x:v>角色被迫撤离或计划失败</x:v>
      </x:c>
      <x:c r="G242" s="24" t="str">
        <x:v>玩家</x:v>
      </x:c>
      <x:c r="H242" s="24" t="str">
        <x:v>挫败</x:v>
      </x:c>
      <x:c r="I242" s="24" t="str">
        <x:v>反思</x:v>
      </x:c>
      <x:c r="J242" s="24" t="n">
        <x:v>4</x:v>
      </x:c>
      <x:c r="K242" s="30" t="str">
        <x:v>这次风站错了方向。撤吧，别让倔强再多添一个名字。</x:v>
      </x:c>
      <x:c r="L242" s="30" t="str">
        <x:v>保持简短、风与酒意象、带自嘲；避免刻意沧桑和醉汉化</x:v>
      </x:c>
      <x:c r="M242" s="30" t="n">
        <x:v>5</x:v>
      </x:c>
      <x:c r="N242" s="30" t="n">
        <x:v>0</x:v>
      </x:c>
      <x:c r="O242" s="30" t="str">
        <x:v>不限</x:v>
      </x:c>
      <x:c r="P242" s="30" t="str">
        <x:v>不限</x:v>
      </x:c>
      <x:c r="Q242" s="30" t="str">
        <x:v>否</x:v>
      </x:c>
      <x:c r="R242" s="30" t="n">
        <x:v>10</x:v>
      </x:c>
      <x:c r="S242" s="30" t="str">
        <x:v>spirit</x:v>
      </x:c>
      <x:c r="T242" s="30" t="str">
        <x:v>spirit_fate</x:v>
      </x:c>
      <x:c r="U242" s="30" t="n">
        <x:v>3</x:v>
      </x:c>
      <x:c r="V242" s="36" t="str">
        <x:f>A242&amp;".wav"</x:f>
        <x:v>ION_YASUO_DEFEAT.wav</x:v>
      </x:c>
      <x:c r="W242" s="36" t="str">
        <x:v>待审核</x:v>
      </x:c>
      <x:c r="X242" s="36" t="str"/>
      <x:c r="Y242" s="36" t="str">
        <x:v>https://universe.leagueoflegends.com/en_US/story/champion/yasuo</x:v>
      </x:c>
    </x:row>
    <x:row r="243" ht="68" customHeight="1">
      <x:c r="A243" s="24" t="str">
        <x:v>ION_YASUO_LORE</x:v>
      </x:c>
      <x:c r="B243" s="24" t="str">
        <x:v>yasuo</x:v>
      </x:c>
      <x:c r="C243" s="24" t="str">
        <x:v>亚索</x:v>
      </x:c>
      <x:c r="D243" s="24" t="str">
        <x:v>LORE</x:v>
      </x:c>
      <x:c r="E243" s="24" t="str">
        <x:v>世界观讲述</x:v>
      </x:c>
      <x:c r="F243" s="24" t="str">
        <x:v>玩家询问人物、地点或往事</x:v>
      </x:c>
      <x:c r="G243" s="24" t="str">
        <x:v>玩家</x:v>
      </x:c>
      <x:c r="H243" s="24" t="str">
        <x:v>叙述</x:v>
      </x:c>
      <x:c r="I243" s="24" t="str">
        <x:v>怀念</x:v>
      </x:c>
      <x:c r="J243" s="24" t="n">
        <x:v>2</x:v>
      </x:c>
      <x:c r="K243" s="30" t="str">
        <x:v>真相洗清了我的罪名，却洗不掉我亲手留下的墓。</x:v>
      </x:c>
      <x:c r="L243" s="30" t="str">
        <x:v>保持简短、风与酒意象、带自嘲；避免刻意沧桑和醉汉化</x:v>
      </x:c>
      <x:c r="M243" s="30" t="n">
        <x:v>8</x:v>
      </x:c>
      <x:c r="N243" s="30" t="n">
        <x:v>0</x:v>
      </x:c>
      <x:c r="O243" s="30" t="str">
        <x:v>不限</x:v>
      </x:c>
      <x:c r="P243" s="30" t="str">
        <x:v>不限</x:v>
      </x:c>
      <x:c r="Q243" s="30" t="str">
        <x:v>是</x:v>
      </x:c>
      <x:c r="R243" s="30" t="n">
        <x:v>10</x:v>
      </x:c>
      <x:c r="S243" s="30" t="str">
        <x:v>spirit</x:v>
      </x:c>
      <x:c r="T243" s="30" t="str">
        <x:v>spirit_fate</x:v>
      </x:c>
      <x:c r="U243" s="30" t="n">
        <x:v>0</x:v>
      </x:c>
      <x:c r="V243" s="36" t="str">
        <x:f>A243&amp;".wav"</x:f>
        <x:v>ION_YASUO_LORE.wav</x:v>
      </x:c>
      <x:c r="W243" s="36" t="str">
        <x:v>待审核</x:v>
      </x:c>
      <x:c r="X243" s="36" t="str"/>
      <x:c r="Y243" s="36" t="str">
        <x:v>https://universe.leagueoflegends.com/en_US/story/champion/yasuo</x:v>
      </x:c>
    </x:row>
    <x:row r="244" ht="68" customHeight="1">
      <x:c r="A244" s="24" t="str">
        <x:v>ION_YASUO_FAREWELL</x:v>
      </x:c>
      <x:c r="B244" s="24" t="str">
        <x:v>yasuo</x:v>
      </x:c>
      <x:c r="C244" s="24" t="str">
        <x:v>亚索</x:v>
      </x:c>
      <x:c r="D244" s="24" t="str">
        <x:v>FAREWELL</x:v>
      </x:c>
      <x:c r="E244" s="24" t="str">
        <x:v>阶段告别</x:v>
      </x:c>
      <x:c r="F244" s="24" t="str">
        <x:v>事件结束或角色离开队伍</x:v>
      </x:c>
      <x:c r="G244" s="24" t="str">
        <x:v>玩家</x:v>
      </x:c>
      <x:c r="H244" s="24" t="str">
        <x:v>告别</x:v>
      </x:c>
      <x:c r="I244" s="24" t="str">
        <x:v>复杂</x:v>
      </x:c>
      <x:c r="J244" s="24" t="n">
        <x:v>3</x:v>
      </x:c>
      <x:c r="K244" s="30" t="str">
        <x:v>路还长。若再相遇，希望我们都少背一点过去。</x:v>
      </x:c>
      <x:c r="L244" s="30" t="str">
        <x:v>保持简短、风与酒意象、带自嘲；避免刻意沧桑和醉汉化</x:v>
      </x:c>
      <x:c r="M244" s="30" t="n">
        <x:v>5</x:v>
      </x:c>
      <x:c r="N244" s="30" t="n">
        <x:v>0</x:v>
      </x:c>
      <x:c r="O244" s="30" t="str">
        <x:v>不限</x:v>
      </x:c>
      <x:c r="P244" s="30" t="str">
        <x:v>不限</x:v>
      </x:c>
      <x:c r="Q244" s="30" t="str">
        <x:v>否</x:v>
      </x:c>
      <x:c r="R244" s="30" t="n">
        <x:v>10</x:v>
      </x:c>
      <x:c r="S244" s="30" t="str">
        <x:v>freedom</x:v>
      </x:c>
      <x:c r="T244" s="30" t="str">
        <x:v>wanderer</x:v>
      </x:c>
      <x:c r="U244" s="30" t="n">
        <x:v>3</x:v>
      </x:c>
      <x:c r="V244" s="36" t="str">
        <x:f>A244&amp;".wav"</x:f>
        <x:v>ION_YASUO_FAREWELL.wav</x:v>
      </x:c>
      <x:c r="W244" s="36" t="str">
        <x:v>待审核</x:v>
      </x:c>
      <x:c r="X244" s="36" t="str"/>
      <x:c r="Y244" s="36" t="str">
        <x:v>https://universe.leagueoflegends.com/en_US/story/champion/yasuo</x:v>
      </x:c>
    </x:row>
    <x:row r="245" ht="68" customHeight="1">
      <x:c r="A245" s="24" t="str">
        <x:v>ION_YONE_MEET</x:v>
      </x:c>
      <x:c r="B245" s="24" t="str">
        <x:v>yone</x:v>
      </x:c>
      <x:c r="C245" s="24" t="str">
        <x:v>永恩</x:v>
      </x:c>
      <x:c r="D245" s="24" t="str">
        <x:v>MEET</x:v>
      </x:c>
      <x:c r="E245" s="24" t="str">
        <x:v>初次相遇</x:v>
      </x:c>
      <x:c r="F245" s="24" t="str">
        <x:v>玩家第一次接近角色</x:v>
      </x:c>
      <x:c r="G245" s="24" t="str">
        <x:v>玩家</x:v>
      </x:c>
      <x:c r="H245" s="24" t="str">
        <x:v>审视</x:v>
      </x:c>
      <x:c r="I245" s="24" t="str">
        <x:v>中性</x:v>
      </x:c>
      <x:c r="J245" s="24" t="n">
        <x:v>2</x:v>
      </x:c>
      <x:c r="K245" s="30" t="str">
        <x:v>你的身后没有恶灵，但有一份尚未命名的恐惧。</x:v>
      </x:c>
      <x:c r="L245" s="30" t="str">
        <x:v>保持克制、幽冷、分辨名称与本质；避免鬼怪特效遮盖台词</x:v>
      </x:c>
      <x:c r="M245" s="30" t="n">
        <x:v>4</x:v>
      </x:c>
      <x:c r="N245" s="30" t="n">
        <x:v>0</x:v>
      </x:c>
      <x:c r="O245" s="30" t="str">
        <x:v>不限</x:v>
      </x:c>
      <x:c r="P245" s="30" t="str">
        <x:v>不限</x:v>
      </x:c>
      <x:c r="Q245" s="30" t="str">
        <x:v>是</x:v>
      </x:c>
      <x:c r="R245" s="30" t="n">
        <x:v>10</x:v>
      </x:c>
      <x:c r="S245" s="30" t="str">
        <x:v>destiny</x:v>
      </x:c>
      <x:c r="T245" s="30" t="str">
        <x:v>breaker</x:v>
      </x:c>
      <x:c r="U245" s="30" t="n">
        <x:v>0</x:v>
      </x:c>
      <x:c r="V245" s="36" t="str">
        <x:f>A245&amp;".wav"</x:f>
        <x:v>ION_YONE_MEET.wav</x:v>
      </x:c>
      <x:c r="W245" s="36" t="str">
        <x:v>待审核</x:v>
      </x:c>
      <x:c r="X245" s="36" t="str"/>
      <x:c r="Y245" s="36" t="str">
        <x:v>https://universe.leagueoflegends.com/en_US/story/champion/yone</x:v>
      </x:c>
    </x:row>
    <x:row r="246" ht="68" customHeight="1">
      <x:c r="A246" s="24" t="str">
        <x:v>ION_YONE_GREET</x:v>
      </x:c>
      <x:c r="B246" s="24" t="str">
        <x:v>yone</x:v>
      </x:c>
      <x:c r="C246" s="24" t="str">
        <x:v>永恩</x:v>
      </x:c>
      <x:c r="D246" s="24" t="str">
        <x:v>GREET</x:v>
      </x:c>
      <x:c r="E246" s="24" t="str">
        <x:v>友好问候</x:v>
      </x:c>
      <x:c r="F246" s="24" t="str">
        <x:v>关系值达到友好后进入对话</x:v>
      </x:c>
      <x:c r="G246" s="24" t="str">
        <x:v>玩家</x:v>
      </x:c>
      <x:c r="H246" s="24" t="str">
        <x:v>友善</x:v>
      </x:c>
      <x:c r="I246" s="24" t="str">
        <x:v>喜悦</x:v>
      </x:c>
      <x:c r="J246" s="24" t="n">
        <x:v>2</x:v>
      </x:c>
      <x:c r="K246" s="30" t="str">
        <x:v>你学会直视自己的心魔了。这比拔剑更难。</x:v>
      </x:c>
      <x:c r="L246" s="30" t="str">
        <x:v>保持克制、幽冷、分辨名称与本质；避免鬼怪特效遮盖台词</x:v>
      </x:c>
      <x:c r="M246" s="30" t="n">
        <x:v>3</x:v>
      </x:c>
      <x:c r="N246" s="30" t="n">
        <x:v>10</x:v>
      </x:c>
      <x:c r="O246" s="30" t="str">
        <x:v>不限</x:v>
      </x:c>
      <x:c r="P246" s="30" t="str">
        <x:v>不限</x:v>
      </x:c>
      <x:c r="Q246" s="30" t="str">
        <x:v>否</x:v>
      </x:c>
      <x:c r="R246" s="30" t="n">
        <x:v>10</x:v>
      </x:c>
      <x:c r="S246" s="30" t="str">
        <x:v>peace</x:v>
      </x:c>
      <x:c r="T246" s="30" t="str">
        <x:v>guardian</x:v>
      </x:c>
      <x:c r="U246" s="30" t="n">
        <x:v>3</x:v>
      </x:c>
      <x:c r="V246" s="36" t="str">
        <x:f>A246&amp;".wav"</x:f>
        <x:v>ION_YONE_GREET.wav</x:v>
      </x:c>
      <x:c r="W246" s="36" t="str">
        <x:v>待审核</x:v>
      </x:c>
      <x:c r="X246" s="36" t="str"/>
      <x:c r="Y246" s="36" t="str">
        <x:v>https://universe.leagueoflegends.com/en_US/story/champion/yone</x:v>
      </x:c>
    </x:row>
    <x:row r="247" ht="68" customHeight="1">
      <x:c r="A247" s="24" t="str">
        <x:v>ION_YONE_WARN</x:v>
      </x:c>
      <x:c r="B247" s="24" t="str">
        <x:v>yone</x:v>
      </x:c>
      <x:c r="C247" s="24" t="str">
        <x:v>永恩</x:v>
      </x:c>
      <x:c r="D247" s="24" t="str">
        <x:v>WARN</x:v>
      </x:c>
      <x:c r="E247" s="24" t="str">
        <x:v>危险警告</x:v>
      </x:c>
      <x:c r="F247" s="24" t="str">
        <x:v>区域威胁或伏击即将发生</x:v>
      </x:c>
      <x:c r="G247" s="24" t="str">
        <x:v>玩家</x:v>
      </x:c>
      <x:c r="H247" s="24" t="str">
        <x:v>紧张</x:v>
      </x:c>
      <x:c r="I247" s="24" t="str">
        <x:v>警觉</x:v>
      </x:c>
      <x:c r="J247" s="24" t="n">
        <x:v>3</x:v>
      </x:c>
      <x:c r="K247" s="30" t="str">
        <x:v>面具在发热。附近有亚扎卡纳正在寻找名字。</x:v>
      </x:c>
      <x:c r="L247" s="30" t="str">
        <x:v>保持克制、幽冷、分辨名称与本质；避免鬼怪特效遮盖台词</x:v>
      </x:c>
      <x:c r="M247" s="30" t="n">
        <x:v>3</x:v>
      </x:c>
      <x:c r="N247" s="30" t="n">
        <x:v>0</x:v>
      </x:c>
      <x:c r="O247" s="30" t="str">
        <x:v>不限</x:v>
      </x:c>
      <x:c r="P247" s="30" t="str">
        <x:v>不限</x:v>
      </x:c>
      <x:c r="Q247" s="30" t="str">
        <x:v>否</x:v>
      </x:c>
      <x:c r="R247" s="30" t="n">
        <x:v>10</x:v>
      </x:c>
      <x:c r="S247" s="30" t="str">
        <x:v>destiny</x:v>
      </x:c>
      <x:c r="T247" s="30" t="str">
        <x:v>breaker</x:v>
      </x:c>
      <x:c r="U247" s="30" t="n">
        <x:v>3</x:v>
      </x:c>
      <x:c r="V247" s="36" t="str">
        <x:f>A247&amp;".wav"</x:f>
        <x:v>ION_YONE_WARN.wav</x:v>
      </x:c>
      <x:c r="W247" s="36" t="str">
        <x:v>待审核</x:v>
      </x:c>
      <x:c r="X247" s="36" t="str"/>
      <x:c r="Y247" s="36" t="str">
        <x:v>https://universe.leagueoflegends.com/en_US/story/champion/yone</x:v>
      </x:c>
    </x:row>
    <x:row r="248" ht="68" customHeight="1">
      <x:c r="A248" s="24" t="str">
        <x:v>ION_YONE_REFUSE</x:v>
      </x:c>
      <x:c r="B248" s="24" t="str">
        <x:v>yone</x:v>
      </x:c>
      <x:c r="C248" s="24" t="str">
        <x:v>永恩</x:v>
      </x:c>
      <x:c r="D248" s="24" t="str">
        <x:v>REFUSE</x:v>
      </x:c>
      <x:c r="E248" s="24" t="str">
        <x:v>拒绝请求</x:v>
      </x:c>
      <x:c r="F248" s="24" t="str">
        <x:v>玩家请求触碰角色底线</x:v>
      </x:c>
      <x:c r="G248" s="24" t="str">
        <x:v>玩家</x:v>
      </x:c>
      <x:c r="H248" s="24" t="str">
        <x:v>拒绝</x:v>
      </x:c>
      <x:c r="I248" s="24" t="str">
        <x:v>厌恶</x:v>
      </x:c>
      <x:c r="J248" s="24" t="n">
        <x:v>3</x:v>
      </x:c>
      <x:c r="K248" s="30" t="str">
        <x:v>我不会替你斩杀一段你拒绝承认的情绪。</x:v>
      </x:c>
      <x:c r="L248" s="30" t="str">
        <x:v>保持克制、幽冷、分辨名称与本质；避免鬼怪特效遮盖台词</x:v>
      </x:c>
      <x:c r="M248" s="30" t="n">
        <x:v>4</x:v>
      </x:c>
      <x:c r="N248" s="30" t="n">
        <x:v>-20</x:v>
      </x:c>
      <x:c r="O248" s="30" t="str">
        <x:v>不限</x:v>
      </x:c>
      <x:c r="P248" s="30" t="str">
        <x:v>不限</x:v>
      </x:c>
      <x:c r="Q248" s="30" t="str">
        <x:v>否</x:v>
      </x:c>
      <x:c r="R248" s="30" t="n">
        <x:v>10</x:v>
      </x:c>
      <x:c r="S248" s="30" t="str">
        <x:v>freedom</x:v>
      </x:c>
      <x:c r="T248" s="30" t="str">
        <x:v>wanderer</x:v>
      </x:c>
      <x:c r="U248" s="30" t="n">
        <x:v>3</x:v>
      </x:c>
      <x:c r="V248" s="36" t="str">
        <x:f>A248&amp;".wav"</x:f>
        <x:v>ION_YONE_REFUSE.wav</x:v>
      </x:c>
      <x:c r="W248" s="36" t="str">
        <x:v>待审核</x:v>
      </x:c>
      <x:c r="X248" s="36" t="str"/>
      <x:c r="Y248" s="36" t="str">
        <x:v>https://universe.leagueoflegends.com/en_US/story/champion/yone</x:v>
      </x:c>
    </x:row>
    <x:row r="249" ht="68" customHeight="1">
      <x:c r="A249" s="24" t="str">
        <x:v>ION_YONE_TRUST</x:v>
      </x:c>
      <x:c r="B249" s="24" t="str">
        <x:v>yone</x:v>
      </x:c>
      <x:c r="C249" s="24" t="str">
        <x:v>永恩</x:v>
      </x:c>
      <x:c r="D249" s="24" t="str">
        <x:v>TRUST</x:v>
      </x:c>
      <x:c r="E249" s="24" t="str">
        <x:v>建立信任</x:v>
      </x:c>
      <x:c r="F249" s="24" t="str">
        <x:v>玩家满足角色的信任条件</x:v>
      </x:c>
      <x:c r="G249" s="24" t="str">
        <x:v>玩家</x:v>
      </x:c>
      <x:c r="H249" s="24" t="str">
        <x:v>信任</x:v>
      </x:c>
      <x:c r="I249" s="24" t="str">
        <x:v>柔和</x:v>
      </x:c>
      <x:c r="J249" s="24" t="n">
        <x:v>3</x:v>
      </x:c>
      <x:c r="K249" s="30" t="str">
        <x:v>告诉我它以什么折磨你，我便能找到它的形状。</x:v>
      </x:c>
      <x:c r="L249" s="30" t="str">
        <x:v>保持克制、幽冷、分辨名称与本质；避免鬼怪特效遮盖台词</x:v>
      </x:c>
      <x:c r="M249" s="30" t="n">
        <x:v>5</x:v>
      </x:c>
      <x:c r="N249" s="30" t="n">
        <x:v>40</x:v>
      </x:c>
      <x:c r="O249" s="30" t="str">
        <x:v>不限</x:v>
      </x:c>
      <x:c r="P249" s="30" t="str">
        <x:v>不限</x:v>
      </x:c>
      <x:c r="Q249" s="30" t="str">
        <x:v>是</x:v>
      </x:c>
      <x:c r="R249" s="30" t="n">
        <x:v>10</x:v>
      </x:c>
      <x:c r="S249" s="30" t="str">
        <x:v>peace</x:v>
      </x:c>
      <x:c r="T249" s="30" t="str">
        <x:v>guardian</x:v>
      </x:c>
      <x:c r="U249" s="30" t="n">
        <x:v>0</x:v>
      </x:c>
      <x:c r="V249" s="36" t="str">
        <x:f>A249&amp;".wav"</x:f>
        <x:v>ION_YONE_TRUST.wav</x:v>
      </x:c>
      <x:c r="W249" s="36" t="str">
        <x:v>待审核</x:v>
      </x:c>
      <x:c r="X249" s="36" t="str"/>
      <x:c r="Y249" s="36" t="str">
        <x:v>https://universe.leagueoflegends.com/en_US/story/champion/yone</x:v>
      </x:c>
    </x:row>
    <x:row r="250" ht="68" customHeight="1">
      <x:c r="A250" s="24" t="str">
        <x:v>ION_YONE_ANGER</x:v>
      </x:c>
      <x:c r="B250" s="24" t="str">
        <x:v>yone</x:v>
      </x:c>
      <x:c r="C250" s="24" t="str">
        <x:v>永恩</x:v>
      </x:c>
      <x:c r="D250" s="24" t="str">
        <x:v>ANGER</x:v>
      </x:c>
      <x:c r="E250" s="24" t="str">
        <x:v>被激怒</x:v>
      </x:c>
      <x:c r="F250" s="24" t="str">
        <x:v>玩家触发角色主要怒点</x:v>
      </x:c>
      <x:c r="G250" s="24" t="str">
        <x:v>玩家</x:v>
      </x:c>
      <x:c r="H250" s="24" t="str">
        <x:v>愤怒</x:v>
      </x:c>
      <x:c r="I250" s="24" t="str">
        <x:v>受伤</x:v>
      </x:c>
      <x:c r="J250" s="24" t="n">
        <x:v>4</x:v>
      </x:c>
      <x:c r="K250" s="30" t="str">
        <x:v>愤怒若没有名字，就会替恶灵选择你的脸。</x:v>
      </x:c>
      <x:c r="L250" s="30" t="str">
        <x:v>保持克制、幽冷、分辨名称与本质；避免鬼怪特效遮盖台词</x:v>
      </x:c>
      <x:c r="M250" s="30" t="n">
        <x:v>4</x:v>
      </x:c>
      <x:c r="N250" s="30" t="n">
        <x:v>-20</x:v>
      </x:c>
      <x:c r="O250" s="30" t="str">
        <x:v>不限</x:v>
      </x:c>
      <x:c r="P250" s="30" t="str">
        <x:v>不限</x:v>
      </x:c>
      <x:c r="Q250" s="30" t="str">
        <x:v>否</x:v>
      </x:c>
      <x:c r="R250" s="30" t="n">
        <x:v>10</x:v>
      </x:c>
      <x:c r="S250" s="30" t="str">
        <x:v>power</x:v>
      </x:c>
      <x:c r="T250" s="30" t="str">
        <x:v>strong</x:v>
      </x:c>
      <x:c r="U250" s="30" t="n">
        <x:v>3</x:v>
      </x:c>
      <x:c r="V250" s="36" t="str">
        <x:f>A250&amp;".wav"</x:f>
        <x:v>ION_YONE_ANGER.wav</x:v>
      </x:c>
      <x:c r="W250" s="36" t="str">
        <x:v>待审核</x:v>
      </x:c>
      <x:c r="X250" s="36" t="str"/>
      <x:c r="Y250" s="36" t="str">
        <x:v>https://universe.leagueoflegends.com/en_US/story/champion/yone</x:v>
      </x:c>
    </x:row>
    <x:row r="251" ht="68" customHeight="1">
      <x:c r="A251" s="24" t="str">
        <x:v>ION_YONE_HURT</x:v>
      </x:c>
      <x:c r="B251" s="24" t="str">
        <x:v>yone</x:v>
      </x:c>
      <x:c r="C251" s="24" t="str">
        <x:v>永恩</x:v>
      </x:c>
      <x:c r="D251" s="24" t="str">
        <x:v>HURT</x:v>
      </x:c>
      <x:c r="E251" s="24" t="str">
        <x:v>受伤反馈</x:v>
      </x:c>
      <x:c r="F251" s="24" t="str">
        <x:v>角色受到重击但仍可行动</x:v>
      </x:c>
      <x:c r="G251" s="24" t="str">
        <x:v>玩家</x:v>
      </x:c>
      <x:c r="H251" s="24" t="str">
        <x:v>痛苦</x:v>
      </x:c>
      <x:c r="I251" s="24" t="str">
        <x:v>坚持</x:v>
      </x:c>
      <x:c r="J251" s="24" t="n">
        <x:v>4</x:v>
      </x:c>
      <x:c r="K251" s="30" t="str">
        <x:v>这副身体早已死过一次。疼痛只是提醒。</x:v>
      </x:c>
      <x:c r="L251" s="30" t="str">
        <x:v>保持克制、幽冷、分辨名称与本质；避免鬼怪特效遮盖台词</x:v>
      </x:c>
      <x:c r="M251" s="30" t="n">
        <x:v>2</x:v>
      </x:c>
      <x:c r="N251" s="30" t="n">
        <x:v>0</x:v>
      </x:c>
      <x:c r="O251" s="30" t="str">
        <x:v>不限</x:v>
      </x:c>
      <x:c r="P251" s="30" t="str">
        <x:v>不限</x:v>
      </x:c>
      <x:c r="Q251" s="30" t="str">
        <x:v>否</x:v>
      </x:c>
      <x:c r="R251" s="30" t="n">
        <x:v>10</x:v>
      </x:c>
      <x:c r="S251" s="30" t="str">
        <x:v>peace</x:v>
      </x:c>
      <x:c r="T251" s="30" t="str">
        <x:v>guardian</x:v>
      </x:c>
      <x:c r="U251" s="30" t="n">
        <x:v>3</x:v>
      </x:c>
      <x:c r="V251" s="36" t="str">
        <x:f>A251&amp;".wav"</x:f>
        <x:v>ION_YONE_HURT.wav</x:v>
      </x:c>
      <x:c r="W251" s="36" t="str">
        <x:v>待审核</x:v>
      </x:c>
      <x:c r="X251" s="36" t="str"/>
      <x:c r="Y251" s="36" t="str">
        <x:v>https://universe.leagueoflegends.com/en_US/story/champion/yone</x:v>
      </x:c>
    </x:row>
    <x:row r="252" ht="68" customHeight="1">
      <x:c r="A252" s="24" t="str">
        <x:v>ION_YONE_COMBAT</x:v>
      </x:c>
      <x:c r="B252" s="24" t="str">
        <x:v>yone</x:v>
      </x:c>
      <x:c r="C252" s="24" t="str">
        <x:v>永恩</x:v>
      </x:c>
      <x:c r="D252" s="24" t="str">
        <x:v>COMBAT</x:v>
      </x:c>
      <x:c r="E252" s="24" t="str">
        <x:v>战斗行动</x:v>
      </x:c>
      <x:c r="F252" s="24" t="str">
        <x:v>角色发动标志性行动</x:v>
      </x:c>
      <x:c r="G252" s="24" t="str">
        <x:v>玩家</x:v>
      </x:c>
      <x:c r="H252" s="24" t="str">
        <x:v>战意</x:v>
      </x:c>
      <x:c r="I252" s="24" t="str">
        <x:v>专注</x:v>
      </x:c>
      <x:c r="J252" s="24" t="n">
        <x:v>4</x:v>
      </x:c>
      <x:c r="K252" s="30" t="str">
        <x:v>退后。此剑斩肉身，彼剑斩附着其上的名字。</x:v>
      </x:c>
      <x:c r="L252" s="30" t="str">
        <x:v>保持克制、幽冷、分辨名称与本质；避免鬼怪特效遮盖台词</x:v>
      </x:c>
      <x:c r="M252" s="30" t="n">
        <x:v>2</x:v>
      </x:c>
      <x:c r="N252" s="30" t="n">
        <x:v>0</x:v>
      </x:c>
      <x:c r="O252" s="30" t="str">
        <x:v>不限</x:v>
      </x:c>
      <x:c r="P252" s="30" t="str">
        <x:v>不限</x:v>
      </x:c>
      <x:c r="Q252" s="30" t="str">
        <x:v>否</x:v>
      </x:c>
      <x:c r="R252" s="30" t="n">
        <x:v>10</x:v>
      </x:c>
      <x:c r="S252" s="30" t="str">
        <x:v>power</x:v>
      </x:c>
      <x:c r="T252" s="30" t="str">
        <x:v>strong</x:v>
      </x:c>
      <x:c r="U252" s="30" t="n">
        <x:v>3</x:v>
      </x:c>
      <x:c r="V252" s="36" t="str">
        <x:f>A252&amp;".wav"</x:f>
        <x:v>ION_YONE_COMBAT.wav</x:v>
      </x:c>
      <x:c r="W252" s="36" t="str">
        <x:v>待审核</x:v>
      </x:c>
      <x:c r="X252" s="36" t="str"/>
      <x:c r="Y252" s="36" t="str">
        <x:v>https://universe.leagueoflegends.com/en_US/story/champion/yone</x:v>
      </x:c>
    </x:row>
    <x:row r="253" ht="68" customHeight="1">
      <x:c r="A253" s="24" t="str">
        <x:v>ION_YONE_VICTORY</x:v>
      </x:c>
      <x:c r="B253" s="24" t="str">
        <x:v>yone</x:v>
      </x:c>
      <x:c r="C253" s="24" t="str">
        <x:v>永恩</x:v>
      </x:c>
      <x:c r="D253" s="24" t="str">
        <x:v>VICTORY</x:v>
      </x:c>
      <x:c r="E253" s="24" t="str">
        <x:v>战斗胜利</x:v>
      </x:c>
      <x:c r="F253" s="24" t="str">
        <x:v>威胁解除并进入结算</x:v>
      </x:c>
      <x:c r="G253" s="24" t="str">
        <x:v>玩家</x:v>
      </x:c>
      <x:c r="H253" s="24" t="str">
        <x:v>释然</x:v>
      </x:c>
      <x:c r="I253" s="24" t="str">
        <x:v>克制喜悦</x:v>
      </x:c>
      <x:c r="J253" s="24" t="n">
        <x:v>3</x:v>
      </x:c>
      <x:c r="K253" s="30" t="str">
        <x:v>恶灵已散。记住它利用了什么，否则它还会回来。</x:v>
      </x:c>
      <x:c r="L253" s="30" t="str">
        <x:v>保持克制、幽冷、分辨名称与本质；避免鬼怪特效遮盖台词</x:v>
      </x:c>
      <x:c r="M253" s="30" t="n">
        <x:v>4</x:v>
      </x:c>
      <x:c r="N253" s="30" t="n">
        <x:v>0</x:v>
      </x:c>
      <x:c r="O253" s="30" t="str">
        <x:v>不限</x:v>
      </x:c>
      <x:c r="P253" s="30" t="str">
        <x:v>不限</x:v>
      </x:c>
      <x:c r="Q253" s="30" t="str">
        <x:v>否</x:v>
      </x:c>
      <x:c r="R253" s="30" t="n">
        <x:v>10</x:v>
      </x:c>
      <x:c r="S253" s="30" t="str">
        <x:v>destiny</x:v>
      </x:c>
      <x:c r="T253" s="30" t="str">
        <x:v>breaker</x:v>
      </x:c>
      <x:c r="U253" s="30" t="n">
        <x:v>3</x:v>
      </x:c>
      <x:c r="V253" s="36" t="str">
        <x:f>A253&amp;".wav"</x:f>
        <x:v>ION_YONE_VICTORY.wav</x:v>
      </x:c>
      <x:c r="W253" s="36" t="str">
        <x:v>待审核</x:v>
      </x:c>
      <x:c r="X253" s="36" t="str"/>
      <x:c r="Y253" s="36" t="str">
        <x:v>https://universe.leagueoflegends.com/en_US/story/champion/yone</x:v>
      </x:c>
    </x:row>
    <x:row r="254" ht="68" customHeight="1">
      <x:c r="A254" s="24" t="str">
        <x:v>ION_YONE_DEFEAT</x:v>
      </x:c>
      <x:c r="B254" s="24" t="str">
        <x:v>yone</x:v>
      </x:c>
      <x:c r="C254" s="24" t="str">
        <x:v>永恩</x:v>
      </x:c>
      <x:c r="D254" s="24" t="str">
        <x:v>DEFEAT</x:v>
      </x:c>
      <x:c r="E254" s="24" t="str">
        <x:v>失败撤退</x:v>
      </x:c>
      <x:c r="F254" s="24" t="str">
        <x:v>角色被迫撤离或计划失败</x:v>
      </x:c>
      <x:c r="G254" s="24" t="str">
        <x:v>玩家</x:v>
      </x:c>
      <x:c r="H254" s="24" t="str">
        <x:v>挫败</x:v>
      </x:c>
      <x:c r="I254" s="24" t="str">
        <x:v>反思</x:v>
      </x:c>
      <x:c r="J254" s="24" t="n">
        <x:v>4</x:v>
      </x:c>
      <x:c r="K254" s="30" t="str">
        <x:v>它隐藏得比预想更深。离开，等我重新辨认面具。</x:v>
      </x:c>
      <x:c r="L254" s="30" t="str">
        <x:v>保持克制、幽冷、分辨名称与本质；避免鬼怪特效遮盖台词</x:v>
      </x:c>
      <x:c r="M254" s="30" t="n">
        <x:v>5</x:v>
      </x:c>
      <x:c r="N254" s="30" t="n">
        <x:v>0</x:v>
      </x:c>
      <x:c r="O254" s="30" t="str">
        <x:v>不限</x:v>
      </x:c>
      <x:c r="P254" s="30" t="str">
        <x:v>不限</x:v>
      </x:c>
      <x:c r="Q254" s="30" t="str">
        <x:v>否</x:v>
      </x:c>
      <x:c r="R254" s="30" t="n">
        <x:v>10</x:v>
      </x:c>
      <x:c r="S254" s="30" t="str">
        <x:v>spirit</x:v>
      </x:c>
      <x:c r="T254" s="30" t="str">
        <x:v>spirit_fate</x:v>
      </x:c>
      <x:c r="U254" s="30" t="n">
        <x:v>3</x:v>
      </x:c>
      <x:c r="V254" s="36" t="str">
        <x:f>A254&amp;".wav"</x:f>
        <x:v>ION_YONE_DEFEAT.wav</x:v>
      </x:c>
      <x:c r="W254" s="36" t="str">
        <x:v>待审核</x:v>
      </x:c>
      <x:c r="X254" s="36" t="str"/>
      <x:c r="Y254" s="36" t="str">
        <x:v>https://universe.leagueoflegends.com/en_US/story/champion/yone</x:v>
      </x:c>
    </x:row>
    <x:row r="255" ht="68" customHeight="1">
      <x:c r="A255" s="24" t="str">
        <x:v>ION_YONE_LORE</x:v>
      </x:c>
      <x:c r="B255" s="24" t="str">
        <x:v>yone</x:v>
      </x:c>
      <x:c r="C255" s="24" t="str">
        <x:v>永恩</x:v>
      </x:c>
      <x:c r="D255" s="24" t="str">
        <x:v>LORE</x:v>
      </x:c>
      <x:c r="E255" s="24" t="str">
        <x:v>世界观讲述</x:v>
      </x:c>
      <x:c r="F255" s="24" t="str">
        <x:v>玩家询问人物、地点或往事</x:v>
      </x:c>
      <x:c r="G255" s="24" t="str">
        <x:v>玩家</x:v>
      </x:c>
      <x:c r="H255" s="24" t="str">
        <x:v>叙述</x:v>
      </x:c>
      <x:c r="I255" s="24" t="str">
        <x:v>怀念</x:v>
      </x:c>
      <x:c r="J255" s="24" t="n">
        <x:v>2</x:v>
      </x:c>
      <x:c r="K255" s="30" t="str">
        <x:v>亚扎卡纳靠未被承认的情绪生长；否认不是坚强，只是喂养。</x:v>
      </x:c>
      <x:c r="L255" s="30" t="str">
        <x:v>保持克制、幽冷、分辨名称与本质；避免鬼怪特效遮盖台词</x:v>
      </x:c>
      <x:c r="M255" s="30" t="n">
        <x:v>8</x:v>
      </x:c>
      <x:c r="N255" s="30" t="n">
        <x:v>0</x:v>
      </x:c>
      <x:c r="O255" s="30" t="str">
        <x:v>不限</x:v>
      </x:c>
      <x:c r="P255" s="30" t="str">
        <x:v>不限</x:v>
      </x:c>
      <x:c r="Q255" s="30" t="str">
        <x:v>是</x:v>
      </x:c>
      <x:c r="R255" s="30" t="n">
        <x:v>10</x:v>
      </x:c>
      <x:c r="S255" s="30" t="str">
        <x:v>spirit</x:v>
      </x:c>
      <x:c r="T255" s="30" t="str">
        <x:v>spirit_fate</x:v>
      </x:c>
      <x:c r="U255" s="30" t="n">
        <x:v>0</x:v>
      </x:c>
      <x:c r="V255" s="36" t="str">
        <x:f>A255&amp;".wav"</x:f>
        <x:v>ION_YONE_LORE.wav</x:v>
      </x:c>
      <x:c r="W255" s="36" t="str">
        <x:v>待审核</x:v>
      </x:c>
      <x:c r="X255" s="36" t="str"/>
      <x:c r="Y255" s="36" t="str">
        <x:v>https://universe.leagueoflegends.com/en_US/story/champion/yone</x:v>
      </x:c>
    </x:row>
    <x:row r="256" ht="68" customHeight="1">
      <x:c r="A256" s="24" t="str">
        <x:v>ION_YONE_FAREWELL</x:v>
      </x:c>
      <x:c r="B256" s="24" t="str">
        <x:v>yone</x:v>
      </x:c>
      <x:c r="C256" s="24" t="str">
        <x:v>永恩</x:v>
      </x:c>
      <x:c r="D256" s="24" t="str">
        <x:v>FAREWELL</x:v>
      </x:c>
      <x:c r="E256" s="24" t="str">
        <x:v>阶段告别</x:v>
      </x:c>
      <x:c r="F256" s="24" t="str">
        <x:v>事件结束或角色离开队伍</x:v>
      </x:c>
      <x:c r="G256" s="24" t="str">
        <x:v>玩家</x:v>
      </x:c>
      <x:c r="H256" s="24" t="str">
        <x:v>告别</x:v>
      </x:c>
      <x:c r="I256" s="24" t="str">
        <x:v>复杂</x:v>
      </x:c>
      <x:c r="J256" s="24" t="n">
        <x:v>3</x:v>
      </x:c>
      <x:c r="K256" s="30" t="str">
        <x:v>我继续追踪下一个名字。愿你的恐惧不必由别人替你命名。</x:v>
      </x:c>
      <x:c r="L256" s="30" t="str">
        <x:v>保持克制、幽冷、分辨名称与本质；避免鬼怪特效遮盖台词</x:v>
      </x:c>
      <x:c r="M256" s="30" t="n">
        <x:v>5</x:v>
      </x:c>
      <x:c r="N256" s="30" t="n">
        <x:v>0</x:v>
      </x:c>
      <x:c r="O256" s="30" t="str">
        <x:v>不限</x:v>
      </x:c>
      <x:c r="P256" s="30" t="str">
        <x:v>不限</x:v>
      </x:c>
      <x:c r="Q256" s="30" t="str">
        <x:v>否</x:v>
      </x:c>
      <x:c r="R256" s="30" t="n">
        <x:v>10</x:v>
      </x:c>
      <x:c r="S256" s="30" t="str">
        <x:v>freedom</x:v>
      </x:c>
      <x:c r="T256" s="30" t="str">
        <x:v>wanderer</x:v>
      </x:c>
      <x:c r="U256" s="30" t="n">
        <x:v>3</x:v>
      </x:c>
      <x:c r="V256" s="36" t="str">
        <x:f>A256&amp;".wav"</x:f>
        <x:v>ION_YONE_FAREWELL.wav</x:v>
      </x:c>
      <x:c r="W256" s="36" t="str">
        <x:v>待审核</x:v>
      </x:c>
      <x:c r="X256" s="36" t="str"/>
      <x:c r="Y256" s="36" t="str">
        <x:v>https://universe.leagueoflegends.com/en_US/story/champion/yone</x:v>
      </x:c>
    </x:row>
    <x:row r="257" ht="68" customHeight="1">
      <x:c r="A257" s="24" t="str">
        <x:v>ION_ZED_MEET</x:v>
      </x:c>
      <x:c r="B257" s="24" t="str">
        <x:v>zed</x:v>
      </x:c>
      <x:c r="C257" s="24" t="str">
        <x:v>劫</x:v>
      </x:c>
      <x:c r="D257" s="24" t="str">
        <x:v>MEET</x:v>
      </x:c>
      <x:c r="E257" s="24" t="str">
        <x:v>初次相遇</x:v>
      </x:c>
      <x:c r="F257" s="24" t="str">
        <x:v>玩家第一次接近角色</x:v>
      </x:c>
      <x:c r="G257" s="24" t="str">
        <x:v>玩家</x:v>
      </x:c>
      <x:c r="H257" s="24" t="str">
        <x:v>审视</x:v>
      </x:c>
      <x:c r="I257" s="24" t="str">
        <x:v>中性</x:v>
      </x:c>
      <x:c r="J257" s="24" t="n">
        <x:v>2</x:v>
      </x:c>
      <x:c r="K257" s="30" t="str">
        <x:v>如果你来寻求认可，影流没有空位；如果你来承担代价，开口。</x:v>
      </x:c>
      <x:c r="L257" s="30" t="str">
        <x:v>保持精准、压迫、强调结果与代价；避免普通反派咆哮腔</x:v>
      </x:c>
      <x:c r="M257" s="30" t="n">
        <x:v>4</x:v>
      </x:c>
      <x:c r="N257" s="30" t="n">
        <x:v>0</x:v>
      </x:c>
      <x:c r="O257" s="30" t="str">
        <x:v>不限</x:v>
      </x:c>
      <x:c r="P257" s="30" t="str">
        <x:v>不限</x:v>
      </x:c>
      <x:c r="Q257" s="30" t="str">
        <x:v>是</x:v>
      </x:c>
      <x:c r="R257" s="30" t="n">
        <x:v>10</x:v>
      </x:c>
      <x:c r="S257" s="30" t="str">
        <x:v>destiny</x:v>
      </x:c>
      <x:c r="T257" s="30" t="str">
        <x:v>breaker</x:v>
      </x:c>
      <x:c r="U257" s="30" t="n">
        <x:v>0</x:v>
      </x:c>
      <x:c r="V257" s="36" t="str">
        <x:f>A257&amp;".wav"</x:f>
        <x:v>ION_ZED_MEET.wav</x:v>
      </x:c>
      <x:c r="W257" s="36" t="str">
        <x:v>待审核</x:v>
      </x:c>
      <x:c r="X257" s="36" t="str"/>
      <x:c r="Y257" s="36" t="str">
        <x:v>https://universe.leagueoflegends.com/en_US/champion/zed/</x:v>
      </x:c>
    </x:row>
    <x:row r="258" ht="68" customHeight="1">
      <x:c r="A258" s="24" t="str">
        <x:v>ION_ZED_GREET</x:v>
      </x:c>
      <x:c r="B258" s="24" t="str">
        <x:v>zed</x:v>
      </x:c>
      <x:c r="C258" s="24" t="str">
        <x:v>劫</x:v>
      </x:c>
      <x:c r="D258" s="24" t="str">
        <x:v>GREET</x:v>
      </x:c>
      <x:c r="E258" s="24" t="str">
        <x:v>友好问候</x:v>
      </x:c>
      <x:c r="F258" s="24" t="str">
        <x:v>关系值达到友好后进入对话</x:v>
      </x:c>
      <x:c r="G258" s="24" t="str">
        <x:v>玩家</x:v>
      </x:c>
      <x:c r="H258" s="24" t="str">
        <x:v>友善</x:v>
      </x:c>
      <x:c r="I258" s="24" t="str">
        <x:v>喜悦</x:v>
      </x:c>
      <x:c r="J258" s="24" t="n">
        <x:v>2</x:v>
      </x:c>
      <x:c r="K258" s="30" t="str">
        <x:v>你完成了任务，也没有向任何人索要掌声。这一点可取。</x:v>
      </x:c>
      <x:c r="L258" s="30" t="str">
        <x:v>保持精准、压迫、强调结果与代价；避免普通反派咆哮腔</x:v>
      </x:c>
      <x:c r="M258" s="30" t="n">
        <x:v>3</x:v>
      </x:c>
      <x:c r="N258" s="30" t="n">
        <x:v>10</x:v>
      </x:c>
      <x:c r="O258" s="30" t="str">
        <x:v>不限</x:v>
      </x:c>
      <x:c r="P258" s="30" t="str">
        <x:v>不限</x:v>
      </x:c>
      <x:c r="Q258" s="30" t="str">
        <x:v>否</x:v>
      </x:c>
      <x:c r="R258" s="30" t="n">
        <x:v>10</x:v>
      </x:c>
      <x:c r="S258" s="30" t="str">
        <x:v>peace</x:v>
      </x:c>
      <x:c r="T258" s="30" t="str">
        <x:v>guardian</x:v>
      </x:c>
      <x:c r="U258" s="30" t="n">
        <x:v>3</x:v>
      </x:c>
      <x:c r="V258" s="36" t="str">
        <x:f>A258&amp;".wav"</x:f>
        <x:v>ION_ZED_GREET.wav</x:v>
      </x:c>
      <x:c r="W258" s="36" t="str">
        <x:v>待审核</x:v>
      </x:c>
      <x:c r="X258" s="36" t="str"/>
      <x:c r="Y258" s="36" t="str">
        <x:v>https://universe.leagueoflegends.com/en_US/champion/zed/</x:v>
      </x:c>
    </x:row>
    <x:row r="259" ht="68" customHeight="1">
      <x:c r="A259" s="24" t="str">
        <x:v>ION_ZED_WARN</x:v>
      </x:c>
      <x:c r="B259" s="24" t="str">
        <x:v>zed</x:v>
      </x:c>
      <x:c r="C259" s="24" t="str">
        <x:v>劫</x:v>
      </x:c>
      <x:c r="D259" s="24" t="str">
        <x:v>WARN</x:v>
      </x:c>
      <x:c r="E259" s="24" t="str">
        <x:v>危险警告</x:v>
      </x:c>
      <x:c r="F259" s="24" t="str">
        <x:v>区域威胁或伏击即将发生</x:v>
      </x:c>
      <x:c r="G259" s="24" t="str">
        <x:v>玩家</x:v>
      </x:c>
      <x:c r="H259" s="24" t="str">
        <x:v>紧张</x:v>
      </x:c>
      <x:c r="I259" s="24" t="str">
        <x:v>警觉</x:v>
      </x:c>
      <x:c r="J259" s="24" t="n">
        <x:v>3</x:v>
      </x:c>
      <x:c r="K259" s="30" t="str">
        <x:v>三处脚印，一处影子。敌人比他们表现的多一个。</x:v>
      </x:c>
      <x:c r="L259" s="30" t="str">
        <x:v>保持精准、压迫、强调结果与代价；避免普通反派咆哮腔</x:v>
      </x:c>
      <x:c r="M259" s="30" t="n">
        <x:v>3</x:v>
      </x:c>
      <x:c r="N259" s="30" t="n">
        <x:v>0</x:v>
      </x:c>
      <x:c r="O259" s="30" t="str">
        <x:v>不限</x:v>
      </x:c>
      <x:c r="P259" s="30" t="str">
        <x:v>不限</x:v>
      </x:c>
      <x:c r="Q259" s="30" t="str">
        <x:v>否</x:v>
      </x:c>
      <x:c r="R259" s="30" t="n">
        <x:v>10</x:v>
      </x:c>
      <x:c r="S259" s="30" t="str">
        <x:v>destiny</x:v>
      </x:c>
      <x:c r="T259" s="30" t="str">
        <x:v>breaker</x:v>
      </x:c>
      <x:c r="U259" s="30" t="n">
        <x:v>3</x:v>
      </x:c>
      <x:c r="V259" s="36" t="str">
        <x:f>A259&amp;".wav"</x:f>
        <x:v>ION_ZED_WARN.wav</x:v>
      </x:c>
      <x:c r="W259" s="36" t="str">
        <x:v>待审核</x:v>
      </x:c>
      <x:c r="X259" s="36" t="str"/>
      <x:c r="Y259" s="36" t="str">
        <x:v>https://universe.leagueoflegends.com/en_US/champion/zed/</x:v>
      </x:c>
    </x:row>
    <x:row r="260" ht="68" customHeight="1">
      <x:c r="A260" s="24" t="str">
        <x:v>ION_ZED_REFUSE</x:v>
      </x:c>
      <x:c r="B260" s="24" t="str">
        <x:v>zed</x:v>
      </x:c>
      <x:c r="C260" s="24" t="str">
        <x:v>劫</x:v>
      </x:c>
      <x:c r="D260" s="24" t="str">
        <x:v>REFUSE</x:v>
      </x:c>
      <x:c r="E260" s="24" t="str">
        <x:v>拒绝请求</x:v>
      </x:c>
      <x:c r="F260" s="24" t="str">
        <x:v>玩家请求触碰角色底线</x:v>
      </x:c>
      <x:c r="G260" s="24" t="str">
        <x:v>玩家</x:v>
      </x:c>
      <x:c r="H260" s="24" t="str">
        <x:v>拒绝</x:v>
      </x:c>
      <x:c r="I260" s="24" t="str">
        <x:v>厌恶</x:v>
      </x:c>
      <x:c r="J260" s="24" t="n">
        <x:v>3</x:v>
      </x:c>
      <x:c r="K260" s="30" t="str">
        <x:v>你的方案只会让艾欧尼亚再次依赖敌人的克制。我拒绝。</x:v>
      </x:c>
      <x:c r="L260" s="30" t="str">
        <x:v>保持精准、压迫、强调结果与代价；避免普通反派咆哮腔</x:v>
      </x:c>
      <x:c r="M260" s="30" t="n">
        <x:v>4</x:v>
      </x:c>
      <x:c r="N260" s="30" t="n">
        <x:v>-20</x:v>
      </x:c>
      <x:c r="O260" s="30" t="str">
        <x:v>不限</x:v>
      </x:c>
      <x:c r="P260" s="30" t="str">
        <x:v>不限</x:v>
      </x:c>
      <x:c r="Q260" s="30" t="str">
        <x:v>否</x:v>
      </x:c>
      <x:c r="R260" s="30" t="n">
        <x:v>10</x:v>
      </x:c>
      <x:c r="S260" s="30" t="str">
        <x:v>freedom</x:v>
      </x:c>
      <x:c r="T260" s="30" t="str">
        <x:v>wanderer</x:v>
      </x:c>
      <x:c r="U260" s="30" t="n">
        <x:v>3</x:v>
      </x:c>
      <x:c r="V260" s="36" t="str">
        <x:f>A260&amp;".wav"</x:f>
        <x:v>ION_ZED_REFUSE.wav</x:v>
      </x:c>
      <x:c r="W260" s="36" t="str">
        <x:v>待审核</x:v>
      </x:c>
      <x:c r="X260" s="36" t="str"/>
      <x:c r="Y260" s="36" t="str">
        <x:v>https://universe.leagueoflegends.com/en_US/champion/zed/</x:v>
      </x:c>
    </x:row>
    <x:row r="261" ht="68" customHeight="1">
      <x:c r="A261" s="24" t="str">
        <x:v>ION_ZED_TRUST</x:v>
      </x:c>
      <x:c r="B261" s="24" t="str">
        <x:v>zed</x:v>
      </x:c>
      <x:c r="C261" s="24" t="str">
        <x:v>劫</x:v>
      </x:c>
      <x:c r="D261" s="24" t="str">
        <x:v>TRUST</x:v>
      </x:c>
      <x:c r="E261" s="24" t="str">
        <x:v>建立信任</x:v>
      </x:c>
      <x:c r="F261" s="24" t="str">
        <x:v>玩家满足角色的信任条件</x:v>
      </x:c>
      <x:c r="G261" s="24" t="str">
        <x:v>玩家</x:v>
      </x:c>
      <x:c r="H261" s="24" t="str">
        <x:v>信任</x:v>
      </x:c>
      <x:c r="I261" s="24" t="str">
        <x:v>柔和</x:v>
      </x:c>
      <x:c r="J261" s="24" t="n">
        <x:v>3</x:v>
      </x:c>
      <x:c r="K261" s="30" t="str">
        <x:v>我给你行动的权力，也会让你承担失败的全部后果。</x:v>
      </x:c>
      <x:c r="L261" s="30" t="str">
        <x:v>保持精准、压迫、强调结果与代价；避免普通反派咆哮腔</x:v>
      </x:c>
      <x:c r="M261" s="30" t="n">
        <x:v>5</x:v>
      </x:c>
      <x:c r="N261" s="30" t="n">
        <x:v>40</x:v>
      </x:c>
      <x:c r="O261" s="30" t="str">
        <x:v>不限</x:v>
      </x:c>
      <x:c r="P261" s="30" t="str">
        <x:v>不限</x:v>
      </x:c>
      <x:c r="Q261" s="30" t="str">
        <x:v>是</x:v>
      </x:c>
      <x:c r="R261" s="30" t="n">
        <x:v>10</x:v>
      </x:c>
      <x:c r="S261" s="30" t="str">
        <x:v>peace</x:v>
      </x:c>
      <x:c r="T261" s="30" t="str">
        <x:v>guardian</x:v>
      </x:c>
      <x:c r="U261" s="30" t="n">
        <x:v>0</x:v>
      </x:c>
      <x:c r="V261" s="36" t="str">
        <x:f>A261&amp;".wav"</x:f>
        <x:v>ION_ZED_TRUST.wav</x:v>
      </x:c>
      <x:c r="W261" s="36" t="str">
        <x:v>待审核</x:v>
      </x:c>
      <x:c r="X261" s="36" t="str"/>
      <x:c r="Y261" s="36" t="str">
        <x:v>https://universe.leagueoflegends.com/en_US/champion/zed/</x:v>
      </x:c>
    </x:row>
    <x:row r="262" ht="68" customHeight="1">
      <x:c r="A262" s="24" t="str">
        <x:v>ION_ZED_ANGER</x:v>
      </x:c>
      <x:c r="B262" s="24" t="str">
        <x:v>zed</x:v>
      </x:c>
      <x:c r="C262" s="24" t="str">
        <x:v>劫</x:v>
      </x:c>
      <x:c r="D262" s="24" t="str">
        <x:v>ANGER</x:v>
      </x:c>
      <x:c r="E262" s="24" t="str">
        <x:v>被激怒</x:v>
      </x:c>
      <x:c r="F262" s="24" t="str">
        <x:v>玩家触发角色主要怒点</x:v>
      </x:c>
      <x:c r="G262" s="24" t="str">
        <x:v>玩家</x:v>
      </x:c>
      <x:c r="H262" s="24" t="str">
        <x:v>愤怒</x:v>
      </x:c>
      <x:c r="I262" s="24" t="str">
        <x:v>受伤</x:v>
      </x:c>
      <x:c r="J262" s="24" t="n">
        <x:v>4</x:v>
      </x:c>
      <x:c r="K262" s="30" t="str">
        <x:v>别用和平掩饰无力。入侵者从不尊重没有牙齿的愿望。</x:v>
      </x:c>
      <x:c r="L262" s="30" t="str">
        <x:v>保持精准、压迫、强调结果与代价；避免普通反派咆哮腔</x:v>
      </x:c>
      <x:c r="M262" s="30" t="n">
        <x:v>4</x:v>
      </x:c>
      <x:c r="N262" s="30" t="n">
        <x:v>-20</x:v>
      </x:c>
      <x:c r="O262" s="30" t="str">
        <x:v>不限</x:v>
      </x:c>
      <x:c r="P262" s="30" t="str">
        <x:v>不限</x:v>
      </x:c>
      <x:c r="Q262" s="30" t="str">
        <x:v>否</x:v>
      </x:c>
      <x:c r="R262" s="30" t="n">
        <x:v>10</x:v>
      </x:c>
      <x:c r="S262" s="30" t="str">
        <x:v>power</x:v>
      </x:c>
      <x:c r="T262" s="30" t="str">
        <x:v>strong</x:v>
      </x:c>
      <x:c r="U262" s="30" t="n">
        <x:v>3</x:v>
      </x:c>
      <x:c r="V262" s="36" t="str">
        <x:f>A262&amp;".wav"</x:f>
        <x:v>ION_ZED_ANGER.wav</x:v>
      </x:c>
      <x:c r="W262" s="36" t="str">
        <x:v>待审核</x:v>
      </x:c>
      <x:c r="X262" s="36" t="str"/>
      <x:c r="Y262" s="36" t="str">
        <x:v>https://universe.leagueoflegends.com/en_US/champion/zed/</x:v>
      </x:c>
    </x:row>
    <x:row r="263" ht="68" customHeight="1">
      <x:c r="A263" s="24" t="str">
        <x:v>ION_ZED_HURT</x:v>
      </x:c>
      <x:c r="B263" s="24" t="str">
        <x:v>zed</x:v>
      </x:c>
      <x:c r="C263" s="24" t="str">
        <x:v>劫</x:v>
      </x:c>
      <x:c r="D263" s="24" t="str">
        <x:v>HURT</x:v>
      </x:c>
      <x:c r="E263" s="24" t="str">
        <x:v>受伤反馈</x:v>
      </x:c>
      <x:c r="F263" s="24" t="str">
        <x:v>角色受到重击但仍可行动</x:v>
      </x:c>
      <x:c r="G263" s="24" t="str">
        <x:v>玩家</x:v>
      </x:c>
      <x:c r="H263" s="24" t="str">
        <x:v>痛苦</x:v>
      </x:c>
      <x:c r="I263" s="24" t="str">
        <x:v>坚持</x:v>
      </x:c>
      <x:c r="J263" s="24" t="n">
        <x:v>4</x:v>
      </x:c>
      <x:c r="K263" s="30" t="str">
        <x:v>伤势不影响判断。若影响，我会第一个知道。</x:v>
      </x:c>
      <x:c r="L263" s="30" t="str">
        <x:v>保持精准、压迫、强调结果与代价；避免普通反派咆哮腔</x:v>
      </x:c>
      <x:c r="M263" s="30" t="n">
        <x:v>2</x:v>
      </x:c>
      <x:c r="N263" s="30" t="n">
        <x:v>0</x:v>
      </x:c>
      <x:c r="O263" s="30" t="str">
        <x:v>不限</x:v>
      </x:c>
      <x:c r="P263" s="30" t="str">
        <x:v>不限</x:v>
      </x:c>
      <x:c r="Q263" s="30" t="str">
        <x:v>否</x:v>
      </x:c>
      <x:c r="R263" s="30" t="n">
        <x:v>10</x:v>
      </x:c>
      <x:c r="S263" s="30" t="str">
        <x:v>peace</x:v>
      </x:c>
      <x:c r="T263" s="30" t="str">
        <x:v>guardian</x:v>
      </x:c>
      <x:c r="U263" s="30" t="n">
        <x:v>3</x:v>
      </x:c>
      <x:c r="V263" s="36" t="str">
        <x:f>A263&amp;".wav"</x:f>
        <x:v>ION_ZED_HURT.wav</x:v>
      </x:c>
      <x:c r="W263" s="36" t="str">
        <x:v>待审核</x:v>
      </x:c>
      <x:c r="X263" s="36" t="str"/>
      <x:c r="Y263" s="36" t="str">
        <x:v>https://universe.leagueoflegends.com/en_US/champion/zed/</x:v>
      </x:c>
    </x:row>
    <x:row r="264" ht="68" customHeight="1">
      <x:c r="A264" s="24" t="str">
        <x:v>ION_ZED_COMBAT</x:v>
      </x:c>
      <x:c r="B264" s="24" t="str">
        <x:v>zed</x:v>
      </x:c>
      <x:c r="C264" s="24" t="str">
        <x:v>劫</x:v>
      </x:c>
      <x:c r="D264" s="24" t="str">
        <x:v>COMBAT</x:v>
      </x:c>
      <x:c r="E264" s="24" t="str">
        <x:v>战斗行动</x:v>
      </x:c>
      <x:c r="F264" s="24" t="str">
        <x:v>角色发动标志性行动</x:v>
      </x:c>
      <x:c r="G264" s="24" t="str">
        <x:v>玩家</x:v>
      </x:c>
      <x:c r="H264" s="24" t="str">
        <x:v>战意</x:v>
      </x:c>
      <x:c r="I264" s="24" t="str">
        <x:v>专注</x:v>
      </x:c>
      <x:c r="J264" s="24" t="n">
        <x:v>4</x:v>
      </x:c>
      <x:c r="K264" s="30" t="str">
        <x:v>让他们盯着我。影子会从他们忘记防守的地方动手。</x:v>
      </x:c>
      <x:c r="L264" s="30" t="str">
        <x:v>保持精准、压迫、强调结果与代价；避免普通反派咆哮腔</x:v>
      </x:c>
      <x:c r="M264" s="30" t="n">
        <x:v>2</x:v>
      </x:c>
      <x:c r="N264" s="30" t="n">
        <x:v>0</x:v>
      </x:c>
      <x:c r="O264" s="30" t="str">
        <x:v>不限</x:v>
      </x:c>
      <x:c r="P264" s="30" t="str">
        <x:v>不限</x:v>
      </x:c>
      <x:c r="Q264" s="30" t="str">
        <x:v>否</x:v>
      </x:c>
      <x:c r="R264" s="30" t="n">
        <x:v>10</x:v>
      </x:c>
      <x:c r="S264" s="30" t="str">
        <x:v>power</x:v>
      </x:c>
      <x:c r="T264" s="30" t="str">
        <x:v>strong</x:v>
      </x:c>
      <x:c r="U264" s="30" t="n">
        <x:v>3</x:v>
      </x:c>
      <x:c r="V264" s="36" t="str">
        <x:f>A264&amp;".wav"</x:f>
        <x:v>ION_ZED_COMBAT.wav</x:v>
      </x:c>
      <x:c r="W264" s="36" t="str">
        <x:v>待审核</x:v>
      </x:c>
      <x:c r="X264" s="36" t="str"/>
      <x:c r="Y264" s="36" t="str">
        <x:v>https://universe.leagueoflegends.com/en_US/champion/zed/</x:v>
      </x:c>
    </x:row>
    <x:row r="265" ht="68" customHeight="1">
      <x:c r="A265" s="24" t="str">
        <x:v>ION_ZED_VICTORY</x:v>
      </x:c>
      <x:c r="B265" s="24" t="str">
        <x:v>zed</x:v>
      </x:c>
      <x:c r="C265" s="24" t="str">
        <x:v>劫</x:v>
      </x:c>
      <x:c r="D265" s="24" t="str">
        <x:v>VICTORY</x:v>
      </x:c>
      <x:c r="E265" s="24" t="str">
        <x:v>战斗胜利</x:v>
      </x:c>
      <x:c r="F265" s="24" t="str">
        <x:v>威胁解除并进入结算</x:v>
      </x:c>
      <x:c r="G265" s="24" t="str">
        <x:v>玩家</x:v>
      </x:c>
      <x:c r="H265" s="24" t="str">
        <x:v>释然</x:v>
      </x:c>
      <x:c r="I265" s="24" t="str">
        <x:v>克制喜悦</x:v>
      </x:c>
      <x:c r="J265" s="24" t="n">
        <x:v>3</x:v>
      </x:c>
      <x:c r="K265" s="30" t="str">
        <x:v>目标达成。清除痕迹，不要把胜利变成下一次弱点。</x:v>
      </x:c>
      <x:c r="L265" s="30" t="str">
        <x:v>保持精准、压迫、强调结果与代价；避免普通反派咆哮腔</x:v>
      </x:c>
      <x:c r="M265" s="30" t="n">
        <x:v>4</x:v>
      </x:c>
      <x:c r="N265" s="30" t="n">
        <x:v>0</x:v>
      </x:c>
      <x:c r="O265" s="30" t="str">
        <x:v>不限</x:v>
      </x:c>
      <x:c r="P265" s="30" t="str">
        <x:v>不限</x:v>
      </x:c>
      <x:c r="Q265" s="30" t="str">
        <x:v>否</x:v>
      </x:c>
      <x:c r="R265" s="30" t="n">
        <x:v>10</x:v>
      </x:c>
      <x:c r="S265" s="30" t="str">
        <x:v>destiny</x:v>
      </x:c>
      <x:c r="T265" s="30" t="str">
        <x:v>breaker</x:v>
      </x:c>
      <x:c r="U265" s="30" t="n">
        <x:v>3</x:v>
      </x:c>
      <x:c r="V265" s="36" t="str">
        <x:f>A265&amp;".wav"</x:f>
        <x:v>ION_ZED_VICTORY.wav</x:v>
      </x:c>
      <x:c r="W265" s="36" t="str">
        <x:v>待审核</x:v>
      </x:c>
      <x:c r="X265" s="36" t="str"/>
      <x:c r="Y265" s="36" t="str">
        <x:v>https://universe.leagueoflegends.com/en_US/champion/zed/</x:v>
      </x:c>
    </x:row>
    <x:row r="266" ht="68" customHeight="1">
      <x:c r="A266" s="24" t="str">
        <x:v>ION_ZED_DEFEAT</x:v>
      </x:c>
      <x:c r="B266" s="24" t="str">
        <x:v>zed</x:v>
      </x:c>
      <x:c r="C266" s="24" t="str">
        <x:v>劫</x:v>
      </x:c>
      <x:c r="D266" s="24" t="str">
        <x:v>DEFEAT</x:v>
      </x:c>
      <x:c r="E266" s="24" t="str">
        <x:v>失败撤退</x:v>
      </x:c>
      <x:c r="F266" s="24" t="str">
        <x:v>角色被迫撤离或计划失败</x:v>
      </x:c>
      <x:c r="G266" s="24" t="str">
        <x:v>玩家</x:v>
      </x:c>
      <x:c r="H266" s="24" t="str">
        <x:v>挫败</x:v>
      </x:c>
      <x:c r="I266" s="24" t="str">
        <x:v>反思</x:v>
      </x:c>
      <x:c r="J266" s="24" t="n">
        <x:v>4</x:v>
      </x:c>
      <x:c r="K266" s="30" t="str">
        <x:v>情报有误。立即撤出，保存能在下一次出手的人。</x:v>
      </x:c>
      <x:c r="L266" s="30" t="str">
        <x:v>保持精准、压迫、强调结果与代价；避免普通反派咆哮腔</x:v>
      </x:c>
      <x:c r="M266" s="30" t="n">
        <x:v>5</x:v>
      </x:c>
      <x:c r="N266" s="30" t="n">
        <x:v>0</x:v>
      </x:c>
      <x:c r="O266" s="30" t="str">
        <x:v>不限</x:v>
      </x:c>
      <x:c r="P266" s="30" t="str">
        <x:v>不限</x:v>
      </x:c>
      <x:c r="Q266" s="30" t="str">
        <x:v>否</x:v>
      </x:c>
      <x:c r="R266" s="30" t="n">
        <x:v>10</x:v>
      </x:c>
      <x:c r="S266" s="30" t="str">
        <x:v>spirit</x:v>
      </x:c>
      <x:c r="T266" s="30" t="str">
        <x:v>spirit_fate</x:v>
      </x:c>
      <x:c r="U266" s="30" t="n">
        <x:v>3</x:v>
      </x:c>
      <x:c r="V266" s="36" t="str">
        <x:f>A266&amp;".wav"</x:f>
        <x:v>ION_ZED_DEFEAT.wav</x:v>
      </x:c>
      <x:c r="W266" s="36" t="str">
        <x:v>待审核</x:v>
      </x:c>
      <x:c r="X266" s="36" t="str"/>
      <x:c r="Y266" s="36" t="str">
        <x:v>https://universe.leagueoflegends.com/en_US/champion/zed/</x:v>
      </x:c>
    </x:row>
    <x:row r="267" ht="68" customHeight="1">
      <x:c r="A267" s="24" t="str">
        <x:v>ION_ZED_LORE</x:v>
      </x:c>
      <x:c r="B267" s="24" t="str">
        <x:v>zed</x:v>
      </x:c>
      <x:c r="C267" s="24" t="str">
        <x:v>劫</x:v>
      </x:c>
      <x:c r="D267" s="24" t="str">
        <x:v>LORE</x:v>
      </x:c>
      <x:c r="E267" s="24" t="str">
        <x:v>世界观讲述</x:v>
      </x:c>
      <x:c r="F267" s="24" t="str">
        <x:v>玩家询问人物、地点或往事</x:v>
      </x:c>
      <x:c r="G267" s="24" t="str">
        <x:v>玩家</x:v>
      </x:c>
      <x:c r="H267" s="24" t="str">
        <x:v>叙述</x:v>
      </x:c>
      <x:c r="I267" s="24" t="str">
        <x:v>怀念</x:v>
      </x:c>
      <x:c r="J267" s="24" t="n">
        <x:v>2</x:v>
      </x:c>
      <x:c r="K267" s="30" t="str">
        <x:v>禁术之所以被称为禁术，往往只是因为旧秩序害怕失去解释力量的权力。</x:v>
      </x:c>
      <x:c r="L267" s="30" t="str">
        <x:v>保持精准、压迫、强调结果与代价；避免普通反派咆哮腔</x:v>
      </x:c>
      <x:c r="M267" s="30" t="n">
        <x:v>8</x:v>
      </x:c>
      <x:c r="N267" s="30" t="n">
        <x:v>0</x:v>
      </x:c>
      <x:c r="O267" s="30" t="str">
        <x:v>不限</x:v>
      </x:c>
      <x:c r="P267" s="30" t="str">
        <x:v>不限</x:v>
      </x:c>
      <x:c r="Q267" s="30" t="str">
        <x:v>是</x:v>
      </x:c>
      <x:c r="R267" s="30" t="n">
        <x:v>10</x:v>
      </x:c>
      <x:c r="S267" s="30" t="str">
        <x:v>spirit</x:v>
      </x:c>
      <x:c r="T267" s="30" t="str">
        <x:v>spirit_fate</x:v>
      </x:c>
      <x:c r="U267" s="30" t="n">
        <x:v>0</x:v>
      </x:c>
      <x:c r="V267" s="36" t="str">
        <x:f>A267&amp;".wav"</x:f>
        <x:v>ION_ZED_LORE.wav</x:v>
      </x:c>
      <x:c r="W267" s="36" t="str">
        <x:v>待审核</x:v>
      </x:c>
      <x:c r="X267" s="36" t="str"/>
      <x:c r="Y267" s="36" t="str">
        <x:v>https://universe.leagueoflegends.com/en_US/champion/zed/</x:v>
      </x:c>
    </x:row>
    <x:row r="268" ht="68" customHeight="1">
      <x:c r="A268" s="25" t="str">
        <x:v>ION_ZED_FAREWELL</x:v>
      </x:c>
      <x:c r="B268" s="25" t="str">
        <x:v>zed</x:v>
      </x:c>
      <x:c r="C268" s="25" t="str">
        <x:v>劫</x:v>
      </x:c>
      <x:c r="D268" s="25" t="str">
        <x:v>FAREWELL</x:v>
      </x:c>
      <x:c r="E268" s="25" t="str">
        <x:v>阶段告别</x:v>
      </x:c>
      <x:c r="F268" s="25" t="str">
        <x:v>事件结束或角色离开队伍</x:v>
      </x:c>
      <x:c r="G268" s="25" t="str">
        <x:v>玩家</x:v>
      </x:c>
      <x:c r="H268" s="25" t="str">
        <x:v>告别</x:v>
      </x:c>
      <x:c r="I268" s="25" t="str">
        <x:v>复杂</x:v>
      </x:c>
      <x:c r="J268" s="25" t="n">
        <x:v>3</x:v>
      </x:c>
      <x:c r="K268" s="31" t="str">
        <x:v>影流不会等待世界理解。下一次命令到来前，保持锋利。</x:v>
      </x:c>
      <x:c r="L268" s="31" t="str">
        <x:v>保持精准、压迫、强调结果与代价；避免普通反派咆哮腔</x:v>
      </x:c>
      <x:c r="M268" s="31" t="n">
        <x:v>5</x:v>
      </x:c>
      <x:c r="N268" s="31" t="n">
        <x:v>0</x:v>
      </x:c>
      <x:c r="O268" s="31" t="str">
        <x:v>不限</x:v>
      </x:c>
      <x:c r="P268" s="31" t="str">
        <x:v>不限</x:v>
      </x:c>
      <x:c r="Q268" s="31" t="str">
        <x:v>否</x:v>
      </x:c>
      <x:c r="R268" s="31" t="n">
        <x:v>10</x:v>
      </x:c>
      <x:c r="S268" s="31" t="str">
        <x:v>freedom</x:v>
      </x:c>
      <x:c r="T268" s="31" t="str">
        <x:v>wanderer</x:v>
      </x:c>
      <x:c r="U268" s="31" t="n">
        <x:v>3</x:v>
      </x:c>
      <x:c r="V268" s="37" t="str">
        <x:f>A268&amp;".wav"</x:f>
        <x:v>ION_ZED_FAREWELL.wav</x:v>
      </x:c>
      <x:c r="W268" s="37" t="str">
        <x:v>待审核</x:v>
      </x:c>
      <x:c r="X268" s="37" t="str"/>
      <x:c r="Y268" s="37" t="str">
        <x:v>https://universe.leagueoflegends.com/en_US/champion/zed/</x:v>
      </x:c>
    </x:row>
  </x:sheetData>
  <x:mergeCells>
    <x:mergeCell ref="A1:H1"/>
    <x:mergeCell ref="A2:H2"/>
  </x:mergeCells>
  <x:conditionalFormatting sqref="W5:W268">
    <x:cfRule type="containsText" dxfId="2" priority="1" operator="containsText" text="已审核"/>
    <x:cfRule type="containsText" dxfId="3" priority="2" operator="containsText" text="需改写"/>
  </x:conditionalFormatting>
  <x:dataValidations count="5">
    <x:dataValidation type="whole" operator="between" sqref="J5:J268">
      <x:formula1>1</x:formula1>
      <x:formula2>5</x:formula2>
    </x:dataValidation>
    <x:dataValidation type="whole" operator="between" sqref="N5:N268">
      <x:formula1>-100</x:formula1>
      <x:formula2>100</x:formula2>
    </x:dataValidation>
    <x:dataValidation type="list" sqref="Q5:Q268">
      <x:formula1>"是,否"</x:formula1>
    </x:dataValidation>
    <x:dataValidation type="whole" operator="between" sqref="R5:R268">
      <x:formula1>1</x:formula1>
      <x:formula2>100</x:formula2>
    </x:dataValidation>
    <x:dataValidation type="list" sqref="W5:W268">
      <x:formula1>"待审核,需改写,已审核,已录入游戏,禁用"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fb24e8204814f6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2" hidden="0" customWidth="1"/>
    <x:col min="3" max="3" width="14" hidden="0" customWidth="1"/>
    <x:col min="4" max="4" width="18" hidden="0" customWidth="1"/>
    <x:col min="5" max="5" width="18" hidden="0" customWidth="1"/>
    <x:col min="6" max="6" width="14" hidden="0" customWidth="1"/>
    <x:col min="7" max="7" width="16" hidden="0" customWidth="1"/>
  </x:cols>
  <x:sheetData>
    <x:row r="1" ht="32" customHeight="1">
      <x:c r="A1" s="3" t="str">
        <x:v>英雄台词覆盖汇总</x:v>
      </x:c>
      <x:c r="B1" s="3"/>
      <x:c r="C1" s="3"/>
      <x:c r="D1" s="3"/>
      <x:c r="E1" s="3"/>
      <x:c r="F1" s="3"/>
      <x:c r="G1" s="3"/>
    </x:row>
    <x:row r="2" ht="34" customHeight="1">
      <x:c r="A2" s="7" t="str">
        <x:v>公式自动读取“英雄游戏台词”状态；每位英雄基础目标为12类场景全部覆盖。</x:v>
      </x:c>
      <x:c r="B2" s="7"/>
      <x:c r="C2" s="7"/>
      <x:c r="D2" s="7"/>
      <x:c r="E2" s="7"/>
      <x:c r="F2" s="7"/>
      <x:c r="G2" s="7"/>
    </x:row>
    <x:row r="4">
      <x:c r="A4" s="12" t="str">
        <x:v>英雄ID</x:v>
      </x:c>
      <x:c r="B4" s="12" t="str">
        <x:v>英雄名</x:v>
      </x:c>
      <x:c r="C4" s="12" t="str">
        <x:v>计划台词数</x:v>
      </x:c>
      <x:c r="D4" s="12" t="str">
        <x:v>已填写</x:v>
      </x:c>
      <x:c r="E4" s="12" t="str">
        <x:v>已审核</x:v>
      </x:c>
      <x:c r="F4" s="12" t="str">
        <x:v>已录入游戏</x:v>
      </x:c>
      <x:c r="G4" s="12" t="str">
        <x:v>审核率</x:v>
      </x:c>
    </x:row>
    <x:row r="5">
      <x:c r="A5" s="20" t="str">
        <x:v>ahri</x:v>
      </x:c>
      <x:c r="B5" s="20" t="str">
        <x:v>阿狸</x:v>
      </x:c>
      <x:c r="C5" s="20" t="n">
        <x:f>COUNTIF('英雄游戏台词'!$B$5:$B$268,A5)</x:f>
        <x:v>12</x:v>
      </x:c>
      <x:c r="D5" s="20" t="n">
        <x:f>COUNTIFS('英雄游戏台词'!$B$5:$B$268,A5,'英雄游戏台词'!$K$5:$K$268,"&lt;&gt;")</x:f>
        <x:v>12</x:v>
      </x:c>
      <x:c r="E5" s="20" t="n">
        <x:f>COUNTIFS('英雄游戏台词'!$B$5:$B$268,A5,'英雄游戏台词'!$W$5:$W$268,"已审核")+COUNTIFS('英雄游戏台词'!$B$5:$B$268,A5,'英雄游戏台词'!$W$5:$W$268,"已录入游戏")</x:f>
        <x:v>0</x:v>
      </x:c>
      <x:c r="F5" s="20" t="n">
        <x:f>COUNTIFS('英雄游戏台词'!$B$5:$B$268,A5,'英雄游戏台词'!$W$5:$W$268,"已录入游戏")</x:f>
        <x:v>0</x:v>
      </x:c>
      <x:c r="G5" s="47" t="n">
        <x:f>IF(C5=0,0,E5/C5)</x:f>
        <x:v>0</x:v>
      </x:c>
    </x:row>
    <x:row r="6">
      <x:c r="A6" s="21" t="str">
        <x:v>akali</x:v>
      </x:c>
      <x:c r="B6" s="21" t="str">
        <x:v>阿卡丽</x:v>
      </x:c>
      <x:c r="C6" s="21" t="n">
        <x:f>COUNTIF('英雄游戏台词'!$B$5:$B$268,A6)</x:f>
        <x:v>12</x:v>
      </x:c>
      <x:c r="D6" s="21" t="n">
        <x:f>COUNTIFS('英雄游戏台词'!$B$5:$B$268,A6,'英雄游戏台词'!$K$5:$K$268,"&lt;&gt;")</x:f>
        <x:v>12</x:v>
      </x:c>
      <x:c r="E6" s="21" t="n">
        <x:f>COUNTIFS('英雄游戏台词'!$B$5:$B$268,A6,'英雄游戏台词'!$W$5:$W$268,"已审核")+COUNTIFS('英雄游戏台词'!$B$5:$B$268,A6,'英雄游戏台词'!$W$5:$W$268,"已录入游戏")</x:f>
        <x:v>0</x:v>
      </x:c>
      <x:c r="F6" s="21" t="n">
        <x:f>COUNTIFS('英雄游戏台词'!$B$5:$B$268,A6,'英雄游戏台词'!$W$5:$W$268,"已录入游戏")</x:f>
        <x:v>0</x:v>
      </x:c>
      <x:c r="G6" s="48" t="n">
        <x:f>IF(C6=0,0,E6/C6)</x:f>
        <x:v>0</x:v>
      </x:c>
    </x:row>
    <x:row r="7">
      <x:c r="A7" s="21" t="str">
        <x:v>hwei</x:v>
      </x:c>
      <x:c r="B7" s="21" t="str">
        <x:v>惠</x:v>
      </x:c>
      <x:c r="C7" s="21" t="n">
        <x:f>COUNTIF('英雄游戏台词'!$B$5:$B$268,A7)</x:f>
        <x:v>12</x:v>
      </x:c>
      <x:c r="D7" s="21" t="n">
        <x:f>COUNTIFS('英雄游戏台词'!$B$5:$B$268,A7,'英雄游戏台词'!$K$5:$K$268,"&lt;&gt;")</x:f>
        <x:v>12</x:v>
      </x:c>
      <x:c r="E7" s="21" t="n">
        <x:f>COUNTIFS('英雄游戏台词'!$B$5:$B$268,A7,'英雄游戏台词'!$W$5:$W$268,"已审核")+COUNTIFS('英雄游戏台词'!$B$5:$B$268,A7,'英雄游戏台词'!$W$5:$W$268,"已录入游戏")</x:f>
        <x:v>0</x:v>
      </x:c>
      <x:c r="F7" s="21" t="n">
        <x:f>COUNTIFS('英雄游戏台词'!$B$5:$B$268,A7,'英雄游戏台词'!$W$5:$W$268,"已录入游戏")</x:f>
        <x:v>0</x:v>
      </x:c>
      <x:c r="G7" s="48" t="n">
        <x:f>IF(C7=0,0,E7/C7)</x:f>
        <x:v>0</x:v>
      </x:c>
    </x:row>
    <x:row r="8">
      <x:c r="A8" s="21" t="str">
        <x:v>irelia</x:v>
      </x:c>
      <x:c r="B8" s="21" t="str">
        <x:v>艾瑞莉娅</x:v>
      </x:c>
      <x:c r="C8" s="21" t="n">
        <x:f>COUNTIF('英雄游戏台词'!$B$5:$B$268,A8)</x:f>
        <x:v>12</x:v>
      </x:c>
      <x:c r="D8" s="21" t="n">
        <x:f>COUNTIFS('英雄游戏台词'!$B$5:$B$268,A8,'英雄游戏台词'!$K$5:$K$268,"&lt;&gt;")</x:f>
        <x:v>12</x:v>
      </x:c>
      <x:c r="E8" s="21" t="n">
        <x:f>COUNTIFS('英雄游戏台词'!$B$5:$B$268,A8,'英雄游戏台词'!$W$5:$W$268,"已审核")+COUNTIFS('英雄游戏台词'!$B$5:$B$268,A8,'英雄游戏台词'!$W$5:$W$268,"已录入游戏")</x:f>
        <x:v>0</x:v>
      </x:c>
      <x:c r="F8" s="21" t="n">
        <x:f>COUNTIFS('英雄游戏台词'!$B$5:$B$268,A8,'英雄游戏台词'!$W$5:$W$268,"已录入游戏")</x:f>
        <x:v>0</x:v>
      </x:c>
      <x:c r="G8" s="48" t="n">
        <x:f>IF(C8=0,0,E8/C8)</x:f>
        <x:v>0</x:v>
      </x:c>
    </x:row>
    <x:row r="9">
      <x:c r="A9" s="21" t="str">
        <x:v>ivern</x:v>
      </x:c>
      <x:c r="B9" s="21" t="str">
        <x:v>艾翁</x:v>
      </x:c>
      <x:c r="C9" s="21" t="n">
        <x:f>COUNTIF('英雄游戏台词'!$B$5:$B$268,A9)</x:f>
        <x:v>12</x:v>
      </x:c>
      <x:c r="D9" s="21" t="n">
        <x:f>COUNTIFS('英雄游戏台词'!$B$5:$B$268,A9,'英雄游戏台词'!$K$5:$K$268,"&lt;&gt;")</x:f>
        <x:v>12</x:v>
      </x:c>
      <x:c r="E9" s="21" t="n">
        <x:f>COUNTIFS('英雄游戏台词'!$B$5:$B$268,A9,'英雄游戏台词'!$W$5:$W$268,"已审核")+COUNTIFS('英雄游戏台词'!$B$5:$B$268,A9,'英雄游戏台词'!$W$5:$W$268,"已录入游戏")</x:f>
        <x:v>0</x:v>
      </x:c>
      <x:c r="F9" s="21" t="n">
        <x:f>COUNTIFS('英雄游戏台词'!$B$5:$B$268,A9,'英雄游戏台词'!$W$5:$W$268,"已录入游戏")</x:f>
        <x:v>0</x:v>
      </x:c>
      <x:c r="G9" s="48" t="n">
        <x:f>IF(C9=0,0,E9/C9)</x:f>
        <x:v>0</x:v>
      </x:c>
    </x:row>
    <x:row r="10">
      <x:c r="A10" s="21" t="str">
        <x:v>jhin</x:v>
      </x:c>
      <x:c r="B10" s="21" t="str">
        <x:v>烬</x:v>
      </x:c>
      <x:c r="C10" s="21" t="n">
        <x:f>COUNTIF('英雄游戏台词'!$B$5:$B$268,A10)</x:f>
        <x:v>12</x:v>
      </x:c>
      <x:c r="D10" s="21" t="n">
        <x:f>COUNTIFS('英雄游戏台词'!$B$5:$B$268,A10,'英雄游戏台词'!$K$5:$K$268,"&lt;&gt;")</x:f>
        <x:v>12</x:v>
      </x:c>
      <x:c r="E10" s="21" t="n">
        <x:f>COUNTIFS('英雄游戏台词'!$B$5:$B$268,A10,'英雄游戏台词'!$W$5:$W$268,"已审核")+COUNTIFS('英雄游戏台词'!$B$5:$B$268,A10,'英雄游戏台词'!$W$5:$W$268,"已录入游戏")</x:f>
        <x:v>0</x:v>
      </x:c>
      <x:c r="F10" s="21" t="n">
        <x:f>COUNTIFS('英雄游戏台词'!$B$5:$B$268,A10,'英雄游戏台词'!$W$5:$W$268,"已录入游戏")</x:f>
        <x:v>0</x:v>
      </x:c>
      <x:c r="G10" s="48" t="n">
        <x:f>IF(C10=0,0,E10/C10)</x:f>
        <x:v>0</x:v>
      </x:c>
    </x:row>
    <x:row r="11">
      <x:c r="A11" s="21" t="str">
        <x:v>karma</x:v>
      </x:c>
      <x:c r="B11" s="21" t="str">
        <x:v>卡尔玛</x:v>
      </x:c>
      <x:c r="C11" s="21" t="n">
        <x:f>COUNTIF('英雄游戏台词'!$B$5:$B$268,A11)</x:f>
        <x:v>12</x:v>
      </x:c>
      <x:c r="D11" s="21" t="n">
        <x:f>COUNTIFS('英雄游戏台词'!$B$5:$B$268,A11,'英雄游戏台词'!$K$5:$K$268,"&lt;&gt;")</x:f>
        <x:v>12</x:v>
      </x:c>
      <x:c r="E11" s="21" t="n">
        <x:f>COUNTIFS('英雄游戏台词'!$B$5:$B$268,A11,'英雄游戏台词'!$W$5:$W$268,"已审核")+COUNTIFS('英雄游戏台词'!$B$5:$B$268,A11,'英雄游戏台词'!$W$5:$W$268,"已录入游戏")</x:f>
        <x:v>0</x:v>
      </x:c>
      <x:c r="F11" s="21" t="n">
        <x:f>COUNTIFS('英雄游戏台词'!$B$5:$B$268,A11,'英雄游戏台词'!$W$5:$W$268,"已录入游戏")</x:f>
        <x:v>0</x:v>
      </x:c>
      <x:c r="G11" s="48" t="n">
        <x:f>IF(C11=0,0,E11/C11)</x:f>
        <x:v>0</x:v>
      </x:c>
    </x:row>
    <x:row r="12">
      <x:c r="A12" s="21" t="str">
        <x:v>kayn</x:v>
      </x:c>
      <x:c r="B12" s="21" t="str">
        <x:v>凯隐</x:v>
      </x:c>
      <x:c r="C12" s="21" t="n">
        <x:f>COUNTIF('英雄游戏台词'!$B$5:$B$268,A12)</x:f>
        <x:v>12</x:v>
      </x:c>
      <x:c r="D12" s="21" t="n">
        <x:f>COUNTIFS('英雄游戏台词'!$B$5:$B$268,A12,'英雄游戏台词'!$K$5:$K$268,"&lt;&gt;")</x:f>
        <x:v>12</x:v>
      </x:c>
      <x:c r="E12" s="21" t="n">
        <x:f>COUNTIFS('英雄游戏台词'!$B$5:$B$268,A12,'英雄游戏台词'!$W$5:$W$268,"已审核")+COUNTIFS('英雄游戏台词'!$B$5:$B$268,A12,'英雄游戏台词'!$W$5:$W$268,"已录入游戏")</x:f>
        <x:v>0</x:v>
      </x:c>
      <x:c r="F12" s="21" t="n">
        <x:f>COUNTIFS('英雄游戏台词'!$B$5:$B$268,A12,'英雄游戏台词'!$W$5:$W$268,"已录入游戏")</x:f>
        <x:v>0</x:v>
      </x:c>
      <x:c r="G12" s="48" t="n">
        <x:f>IF(C12=0,0,E12/C12)</x:f>
        <x:v>0</x:v>
      </x:c>
    </x:row>
    <x:row r="13">
      <x:c r="A13" s="21" t="str">
        <x:v>kennen</x:v>
      </x:c>
      <x:c r="B13" s="21" t="str">
        <x:v>凯南</x:v>
      </x:c>
      <x:c r="C13" s="21" t="n">
        <x:f>COUNTIF('英雄游戏台词'!$B$5:$B$268,A13)</x:f>
        <x:v>12</x:v>
      </x:c>
      <x:c r="D13" s="21" t="n">
        <x:f>COUNTIFS('英雄游戏台词'!$B$5:$B$268,A13,'英雄游戏台词'!$K$5:$K$268,"&lt;&gt;")</x:f>
        <x:v>12</x:v>
      </x:c>
      <x:c r="E13" s="21" t="n">
        <x:f>COUNTIFS('英雄游戏台词'!$B$5:$B$268,A13,'英雄游戏台词'!$W$5:$W$268,"已审核")+COUNTIFS('英雄游戏台词'!$B$5:$B$268,A13,'英雄游戏台词'!$W$5:$W$268,"已录入游戏")</x:f>
        <x:v>0</x:v>
      </x:c>
      <x:c r="F13" s="21" t="n">
        <x:f>COUNTIFS('英雄游戏台词'!$B$5:$B$268,A13,'英雄游戏台词'!$W$5:$W$268,"已录入游戏")</x:f>
        <x:v>0</x:v>
      </x:c>
      <x:c r="G13" s="48" t="n">
        <x:f>IF(C13=0,0,E13/C13)</x:f>
        <x:v>0</x:v>
      </x:c>
    </x:row>
    <x:row r="14">
      <x:c r="A14" s="21" t="str">
        <x:v>lee_sin</x:v>
      </x:c>
      <x:c r="B14" s="21" t="str">
        <x:v>李青</x:v>
      </x:c>
      <x:c r="C14" s="21" t="n">
        <x:f>COUNTIF('英雄游戏台词'!$B$5:$B$268,A14)</x:f>
        <x:v>12</x:v>
      </x:c>
      <x:c r="D14" s="21" t="n">
        <x:f>COUNTIFS('英雄游戏台词'!$B$5:$B$268,A14,'英雄游戏台词'!$K$5:$K$268,"&lt;&gt;")</x:f>
        <x:v>12</x:v>
      </x:c>
      <x:c r="E14" s="21" t="n">
        <x:f>COUNTIFS('英雄游戏台词'!$B$5:$B$268,A14,'英雄游戏台词'!$W$5:$W$268,"已审核")+COUNTIFS('英雄游戏台词'!$B$5:$B$268,A14,'英雄游戏台词'!$W$5:$W$268,"已录入游戏")</x:f>
        <x:v>0</x:v>
      </x:c>
      <x:c r="F14" s="21" t="n">
        <x:f>COUNTIFS('英雄游戏台词'!$B$5:$B$268,A14,'英雄游戏台词'!$W$5:$W$268,"已录入游戏")</x:f>
        <x:v>0</x:v>
      </x:c>
      <x:c r="G14" s="48" t="n">
        <x:f>IF(C14=0,0,E14/C14)</x:f>
        <x:v>0</x:v>
      </x:c>
    </x:row>
    <x:row r="15">
      <x:c r="A15" s="21" t="str">
        <x:v>lillia</x:v>
      </x:c>
      <x:c r="B15" s="21" t="str">
        <x:v>莉莉娅</x:v>
      </x:c>
      <x:c r="C15" s="21" t="n">
        <x:f>COUNTIF('英雄游戏台词'!$B$5:$B$268,A15)</x:f>
        <x:v>12</x:v>
      </x:c>
      <x:c r="D15" s="21" t="n">
        <x:f>COUNTIFS('英雄游戏台词'!$B$5:$B$268,A15,'英雄游戏台词'!$K$5:$K$268,"&lt;&gt;")</x:f>
        <x:v>12</x:v>
      </x:c>
      <x:c r="E15" s="21" t="n">
        <x:f>COUNTIFS('英雄游戏台词'!$B$5:$B$268,A15,'英雄游戏台词'!$W$5:$W$268,"已审核")+COUNTIFS('英雄游戏台词'!$B$5:$B$268,A15,'英雄游戏台词'!$W$5:$W$268,"已录入游戏")</x:f>
        <x:v>0</x:v>
      </x:c>
      <x:c r="F15" s="21" t="n">
        <x:f>COUNTIFS('英雄游戏台词'!$B$5:$B$268,A15,'英雄游戏台词'!$W$5:$W$268,"已录入游戏")</x:f>
        <x:v>0</x:v>
      </x:c>
      <x:c r="G15" s="48" t="n">
        <x:f>IF(C15=0,0,E15/C15)</x:f>
        <x:v>0</x:v>
      </x:c>
    </x:row>
    <x:row r="16">
      <x:c r="A16" s="21" t="str">
        <x:v>master_yi</x:v>
      </x:c>
      <x:c r="B16" s="21" t="str">
        <x:v>易</x:v>
      </x:c>
      <x:c r="C16" s="21" t="n">
        <x:f>COUNTIF('英雄游戏台词'!$B$5:$B$268,A16)</x:f>
        <x:v>12</x:v>
      </x:c>
      <x:c r="D16" s="21" t="n">
        <x:f>COUNTIFS('英雄游戏台词'!$B$5:$B$268,A16,'英雄游戏台词'!$K$5:$K$268,"&lt;&gt;")</x:f>
        <x:v>12</x:v>
      </x:c>
      <x:c r="E16" s="21" t="n">
        <x:f>COUNTIFS('英雄游戏台词'!$B$5:$B$268,A16,'英雄游戏台词'!$W$5:$W$268,"已审核")+COUNTIFS('英雄游戏台词'!$B$5:$B$268,A16,'英雄游戏台词'!$W$5:$W$268,"已录入游戏")</x:f>
        <x:v>0</x:v>
      </x:c>
      <x:c r="F16" s="21" t="n">
        <x:f>COUNTIFS('英雄游戏台词'!$B$5:$B$268,A16,'英雄游戏台词'!$W$5:$W$268,"已录入游戏")</x:f>
        <x:v>0</x:v>
      </x:c>
      <x:c r="G16" s="48" t="n">
        <x:f>IF(C16=0,0,E16/C16)</x:f>
        <x:v>0</x:v>
      </x:c>
    </x:row>
    <x:row r="17">
      <x:c r="A17" s="21" t="str">
        <x:v>rakan</x:v>
      </x:c>
      <x:c r="B17" s="21" t="str">
        <x:v>洛</x:v>
      </x:c>
      <x:c r="C17" s="21" t="n">
        <x:f>COUNTIF('英雄游戏台词'!$B$5:$B$268,A17)</x:f>
        <x:v>12</x:v>
      </x:c>
      <x:c r="D17" s="21" t="n">
        <x:f>COUNTIFS('英雄游戏台词'!$B$5:$B$268,A17,'英雄游戏台词'!$K$5:$K$268,"&lt;&gt;")</x:f>
        <x:v>12</x:v>
      </x:c>
      <x:c r="E17" s="21" t="n">
        <x:f>COUNTIFS('英雄游戏台词'!$B$5:$B$268,A17,'英雄游戏台词'!$W$5:$W$268,"已审核")+COUNTIFS('英雄游戏台词'!$B$5:$B$268,A17,'英雄游戏台词'!$W$5:$W$268,"已录入游戏")</x:f>
        <x:v>0</x:v>
      </x:c>
      <x:c r="F17" s="21" t="n">
        <x:f>COUNTIFS('英雄游戏台词'!$B$5:$B$268,A17,'英雄游戏台词'!$W$5:$W$268,"已录入游戏")</x:f>
        <x:v>0</x:v>
      </x:c>
      <x:c r="G17" s="48" t="n">
        <x:f>IF(C17=0,0,E17/C17)</x:f>
        <x:v>0</x:v>
      </x:c>
    </x:row>
    <x:row r="18">
      <x:c r="A18" s="21" t="str">
        <x:v>sett</x:v>
      </x:c>
      <x:c r="B18" s="21" t="str">
        <x:v>瑟提</x:v>
      </x:c>
      <x:c r="C18" s="21" t="n">
        <x:f>COUNTIF('英雄游戏台词'!$B$5:$B$268,A18)</x:f>
        <x:v>12</x:v>
      </x:c>
      <x:c r="D18" s="21" t="n">
        <x:f>COUNTIFS('英雄游戏台词'!$B$5:$B$268,A18,'英雄游戏台词'!$K$5:$K$268,"&lt;&gt;")</x:f>
        <x:v>12</x:v>
      </x:c>
      <x:c r="E18" s="21" t="n">
        <x:f>COUNTIFS('英雄游戏台词'!$B$5:$B$268,A18,'英雄游戏台词'!$W$5:$W$268,"已审核")+COUNTIFS('英雄游戏台词'!$B$5:$B$268,A18,'英雄游戏台词'!$W$5:$W$268,"已录入游戏")</x:f>
        <x:v>0</x:v>
      </x:c>
      <x:c r="F18" s="21" t="n">
        <x:f>COUNTIFS('英雄游戏台词'!$B$5:$B$268,A18,'英雄游戏台词'!$W$5:$W$268,"已录入游戏")</x:f>
        <x:v>0</x:v>
      </x:c>
      <x:c r="G18" s="48" t="n">
        <x:f>IF(C18=0,0,E18/C18)</x:f>
        <x:v>0</x:v>
      </x:c>
    </x:row>
    <x:row r="19">
      <x:c r="A19" s="21" t="str">
        <x:v>shen</x:v>
      </x:c>
      <x:c r="B19" s="21" t="str">
        <x:v>慎</x:v>
      </x:c>
      <x:c r="C19" s="21" t="n">
        <x:f>COUNTIF('英雄游戏台词'!$B$5:$B$268,A19)</x:f>
        <x:v>12</x:v>
      </x:c>
      <x:c r="D19" s="21" t="n">
        <x:f>COUNTIFS('英雄游戏台词'!$B$5:$B$268,A19,'英雄游戏台词'!$K$5:$K$268,"&lt;&gt;")</x:f>
        <x:v>12</x:v>
      </x:c>
      <x:c r="E19" s="21" t="n">
        <x:f>COUNTIFS('英雄游戏台词'!$B$5:$B$268,A19,'英雄游戏台词'!$W$5:$W$268,"已审核")+COUNTIFS('英雄游戏台词'!$B$5:$B$268,A19,'英雄游戏台词'!$W$5:$W$268,"已录入游戏")</x:f>
        <x:v>0</x:v>
      </x:c>
      <x:c r="F19" s="21" t="n">
        <x:f>COUNTIFS('英雄游戏台词'!$B$5:$B$268,A19,'英雄游戏台词'!$W$5:$W$268,"已录入游戏")</x:f>
        <x:v>0</x:v>
      </x:c>
      <x:c r="G19" s="48" t="n">
        <x:f>IF(C19=0,0,E19/C19)</x:f>
        <x:v>0</x:v>
      </x:c>
    </x:row>
    <x:row r="20">
      <x:c r="A20" s="21" t="str">
        <x:v>syndra</x:v>
      </x:c>
      <x:c r="B20" s="21" t="str">
        <x:v>辛德拉</x:v>
      </x:c>
      <x:c r="C20" s="21" t="n">
        <x:f>COUNTIF('英雄游戏台词'!$B$5:$B$268,A20)</x:f>
        <x:v>12</x:v>
      </x:c>
      <x:c r="D20" s="21" t="n">
        <x:f>COUNTIFS('英雄游戏台词'!$B$5:$B$268,A20,'英雄游戏台词'!$K$5:$K$268,"&lt;&gt;")</x:f>
        <x:v>12</x:v>
      </x:c>
      <x:c r="E20" s="21" t="n">
        <x:f>COUNTIFS('英雄游戏台词'!$B$5:$B$268,A20,'英雄游戏台词'!$W$5:$W$268,"已审核")+COUNTIFS('英雄游戏台词'!$B$5:$B$268,A20,'英雄游戏台词'!$W$5:$W$268,"已录入游戏")</x:f>
        <x:v>0</x:v>
      </x:c>
      <x:c r="F20" s="21" t="n">
        <x:f>COUNTIFS('英雄游戏台词'!$B$5:$B$268,A20,'英雄游戏台词'!$W$5:$W$268,"已录入游戏")</x:f>
        <x:v>0</x:v>
      </x:c>
      <x:c r="G20" s="48" t="n">
        <x:f>IF(C20=0,0,E20/C20)</x:f>
        <x:v>0</x:v>
      </x:c>
    </x:row>
    <x:row r="21">
      <x:c r="A21" s="21" t="str">
        <x:v>varus</x:v>
      </x:c>
      <x:c r="B21" s="21" t="str">
        <x:v>韦鲁斯</x:v>
      </x:c>
      <x:c r="C21" s="21" t="n">
        <x:f>COUNTIF('英雄游戏台词'!$B$5:$B$268,A21)</x:f>
        <x:v>12</x:v>
      </x:c>
      <x:c r="D21" s="21" t="n">
        <x:f>COUNTIFS('英雄游戏台词'!$B$5:$B$268,A21,'英雄游戏台词'!$K$5:$K$268,"&lt;&gt;")</x:f>
        <x:v>12</x:v>
      </x:c>
      <x:c r="E21" s="21" t="n">
        <x:f>COUNTIFS('英雄游戏台词'!$B$5:$B$268,A21,'英雄游戏台词'!$W$5:$W$268,"已审核")+COUNTIFS('英雄游戏台词'!$B$5:$B$268,A21,'英雄游戏台词'!$W$5:$W$268,"已录入游戏")</x:f>
        <x:v>0</x:v>
      </x:c>
      <x:c r="F21" s="21" t="n">
        <x:f>COUNTIFS('英雄游戏台词'!$B$5:$B$268,A21,'英雄游戏台词'!$W$5:$W$268,"已录入游戏")</x:f>
        <x:v>0</x:v>
      </x:c>
      <x:c r="G21" s="48" t="n">
        <x:f>IF(C21=0,0,E21/C21)</x:f>
        <x:v>0</x:v>
      </x:c>
    </x:row>
    <x:row r="22">
      <x:c r="A22" s="21" t="str">
        <x:v>wukong</x:v>
      </x:c>
      <x:c r="B22" s="21" t="str">
        <x:v>悟空</x:v>
      </x:c>
      <x:c r="C22" s="21" t="n">
        <x:f>COUNTIF('英雄游戏台词'!$B$5:$B$268,A22)</x:f>
        <x:v>12</x:v>
      </x:c>
      <x:c r="D22" s="21" t="n">
        <x:f>COUNTIFS('英雄游戏台词'!$B$5:$B$268,A22,'英雄游戏台词'!$K$5:$K$268,"&lt;&gt;")</x:f>
        <x:v>12</x:v>
      </x:c>
      <x:c r="E22" s="21" t="n">
        <x:f>COUNTIFS('英雄游戏台词'!$B$5:$B$268,A22,'英雄游戏台词'!$W$5:$W$268,"已审核")+COUNTIFS('英雄游戏台词'!$B$5:$B$268,A22,'英雄游戏台词'!$W$5:$W$268,"已录入游戏")</x:f>
        <x:v>0</x:v>
      </x:c>
      <x:c r="F22" s="21" t="n">
        <x:f>COUNTIFS('英雄游戏台词'!$B$5:$B$268,A22,'英雄游戏台词'!$W$5:$W$268,"已录入游戏")</x:f>
        <x:v>0</x:v>
      </x:c>
      <x:c r="G22" s="48" t="n">
        <x:f>IF(C22=0,0,E22/C22)</x:f>
        <x:v>0</x:v>
      </x:c>
    </x:row>
    <x:row r="23">
      <x:c r="A23" s="21" t="str">
        <x:v>xayah</x:v>
      </x:c>
      <x:c r="B23" s="21" t="str">
        <x:v>霞</x:v>
      </x:c>
      <x:c r="C23" s="21" t="n">
        <x:f>COUNTIF('英雄游戏台词'!$B$5:$B$268,A23)</x:f>
        <x:v>12</x:v>
      </x:c>
      <x:c r="D23" s="21" t="n">
        <x:f>COUNTIFS('英雄游戏台词'!$B$5:$B$268,A23,'英雄游戏台词'!$K$5:$K$268,"&lt;&gt;")</x:f>
        <x:v>12</x:v>
      </x:c>
      <x:c r="E23" s="21" t="n">
        <x:f>COUNTIFS('英雄游戏台词'!$B$5:$B$268,A23,'英雄游戏台词'!$W$5:$W$268,"已审核")+COUNTIFS('英雄游戏台词'!$B$5:$B$268,A23,'英雄游戏台词'!$W$5:$W$268,"已录入游戏")</x:f>
        <x:v>0</x:v>
      </x:c>
      <x:c r="F23" s="21" t="n">
        <x:f>COUNTIFS('英雄游戏台词'!$B$5:$B$268,A23,'英雄游戏台词'!$W$5:$W$268,"已录入游戏")</x:f>
        <x:v>0</x:v>
      </x:c>
      <x:c r="G23" s="48" t="n">
        <x:f>IF(C23=0,0,E23/C23)</x:f>
        <x:v>0</x:v>
      </x:c>
    </x:row>
    <x:row r="24">
      <x:c r="A24" s="21" t="str">
        <x:v>yasuo</x:v>
      </x:c>
      <x:c r="B24" s="21" t="str">
        <x:v>亚索</x:v>
      </x:c>
      <x:c r="C24" s="21" t="n">
        <x:f>COUNTIF('英雄游戏台词'!$B$5:$B$268,A24)</x:f>
        <x:v>12</x:v>
      </x:c>
      <x:c r="D24" s="21" t="n">
        <x:f>COUNTIFS('英雄游戏台词'!$B$5:$B$268,A24,'英雄游戏台词'!$K$5:$K$268,"&lt;&gt;")</x:f>
        <x:v>12</x:v>
      </x:c>
      <x:c r="E24" s="21" t="n">
        <x:f>COUNTIFS('英雄游戏台词'!$B$5:$B$268,A24,'英雄游戏台词'!$W$5:$W$268,"已审核")+COUNTIFS('英雄游戏台词'!$B$5:$B$268,A24,'英雄游戏台词'!$W$5:$W$268,"已录入游戏")</x:f>
        <x:v>0</x:v>
      </x:c>
      <x:c r="F24" s="21" t="n">
        <x:f>COUNTIFS('英雄游戏台词'!$B$5:$B$268,A24,'英雄游戏台词'!$W$5:$W$268,"已录入游戏")</x:f>
        <x:v>0</x:v>
      </x:c>
      <x:c r="G24" s="48" t="n">
        <x:f>IF(C24=0,0,E24/C24)</x:f>
        <x:v>0</x:v>
      </x:c>
    </x:row>
    <x:row r="25">
      <x:c r="A25" s="21" t="str">
        <x:v>yone</x:v>
      </x:c>
      <x:c r="B25" s="21" t="str">
        <x:v>永恩</x:v>
      </x:c>
      <x:c r="C25" s="21" t="n">
        <x:f>COUNTIF('英雄游戏台词'!$B$5:$B$268,A25)</x:f>
        <x:v>12</x:v>
      </x:c>
      <x:c r="D25" s="21" t="n">
        <x:f>COUNTIFS('英雄游戏台词'!$B$5:$B$268,A25,'英雄游戏台词'!$K$5:$K$268,"&lt;&gt;")</x:f>
        <x:v>12</x:v>
      </x:c>
      <x:c r="E25" s="21" t="n">
        <x:f>COUNTIFS('英雄游戏台词'!$B$5:$B$268,A25,'英雄游戏台词'!$W$5:$W$268,"已审核")+COUNTIFS('英雄游戏台词'!$B$5:$B$268,A25,'英雄游戏台词'!$W$5:$W$268,"已录入游戏")</x:f>
        <x:v>0</x:v>
      </x:c>
      <x:c r="F25" s="21" t="n">
        <x:f>COUNTIFS('英雄游戏台词'!$B$5:$B$268,A25,'英雄游戏台词'!$W$5:$W$268,"已录入游戏")</x:f>
        <x:v>0</x:v>
      </x:c>
      <x:c r="G25" s="48" t="n">
        <x:f>IF(C25=0,0,E25/C25)</x:f>
        <x:v>0</x:v>
      </x:c>
    </x:row>
    <x:row r="26">
      <x:c r="A26" s="22" t="str">
        <x:v>zed</x:v>
      </x:c>
      <x:c r="B26" s="22" t="str">
        <x:v>劫</x:v>
      </x:c>
      <x:c r="C26" s="22" t="n">
        <x:f>COUNTIF('英雄游戏台词'!$B$5:$B$268,A26)</x:f>
        <x:v>12</x:v>
      </x:c>
      <x:c r="D26" s="22" t="n">
        <x:f>COUNTIFS('英雄游戏台词'!$B$5:$B$268,A26,'英雄游戏台词'!$K$5:$K$268,"&lt;&gt;")</x:f>
        <x:v>12</x:v>
      </x:c>
      <x:c r="E26" s="22" t="n">
        <x:f>COUNTIFS('英雄游戏台词'!$B$5:$B$268,A26,'英雄游戏台词'!$W$5:$W$268,"已审核")+COUNTIFS('英雄游戏台词'!$B$5:$B$268,A26,'英雄游戏台词'!$W$5:$W$268,"已录入游戏")</x:f>
        <x:v>0</x:v>
      </x:c>
      <x:c r="F26" s="22" t="n">
        <x:f>COUNTIFS('英雄游戏台词'!$B$5:$B$268,A26,'英雄游戏台词'!$W$5:$W$268,"已录入游戏")</x:f>
        <x:v>0</x:v>
      </x:c>
      <x:c r="G26" s="49" t="n">
        <x:f>IF(C26=0,0,E26/C26)</x:f>
        <x:v>0</x:v>
      </x:c>
    </x:row>
  </x:sheetData>
  <x:mergeCells>
    <x:mergeCell ref="A1:G1"/>
    <x:mergeCell ref="A2:G2"/>
  </x:mergeCells>
  <x:conditionalFormatting sqref="G5:G26">
    <x:cfRule type="dataBar" priority="1">
      <x:dataBar>
        <x:cfvo type="min"/>
        <x:cfvo type="max"/>
        <x:color rgb="FF2F675B"/>
      </x:dataBar>
      <x:extLst>
        <x:ext xmlns:x14="http://schemas.microsoft.com/office/spreadsheetml/2009/9/main" uri="{B025F937-C7B1-47D3-B67F-A62EFF666E3E}">
          <x14:id>{739CFEF4-536F-1DDA-7A42-433322D2F470}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739CFEF4-536F-1DDA-7A42-433322D2F470}">
            <x14:dataBar gradient="1">
              <x14:cfvo type="min"/>
              <x14:cfvo type="max"/>
              <x14:fillColor rgb="FF2F675B"/>
            </x14:dataBar>
          </x14:cfRule>
          <xm:sqref>G5:G26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5" hidden="0" customWidth="1"/>
    <x:col min="4" max="4" width="10" hidden="0" customWidth="1"/>
    <x:col min="5" max="5" width="68" hidden="0" customWidth="1"/>
    <x:col min="6" max="6" width="34" hidden="0" customWidth="1"/>
  </x:cols>
  <x:sheetData>
    <x:row r="1" ht="32" customHeight="1">
      <x:c r="A1" s="3" t="str">
        <x:v>游戏台词字段字典</x:v>
      </x:c>
      <x:c r="B1" s="3"/>
      <x:c r="C1" s="3"/>
      <x:c r="D1" s="3"/>
      <x:c r="E1" s="3"/>
      <x:c r="F1" s="3"/>
    </x:row>
    <x:row r="2" ht="34" customHeight="1">
      <x:c r="A2" s="7" t="str">
        <x:v>后端 dialogue 数据表、事件触发器和 AI 上下文应保持同一字段语义。</x:v>
      </x:c>
      <x:c r="B2" s="7"/>
      <x:c r="C2" s="7"/>
      <x:c r="D2" s="7"/>
      <x:c r="E2" s="7"/>
      <x:c r="F2" s="7"/>
    </x:row>
    <x:row r="4">
      <x:c r="A4" s="12" t="str">
        <x:v>字段名</x:v>
      </x:c>
      <x:c r="B4" s="12" t="str">
        <x:v>字段组</x:v>
      </x:c>
      <x:c r="C4" s="12" t="str">
        <x:v>数据类型</x:v>
      </x:c>
      <x:c r="D4" s="12" t="str">
        <x:v>必填</x:v>
      </x:c>
      <x:c r="E4" s="12" t="str">
        <x:v>定义</x:v>
      </x:c>
      <x:c r="F4" s="12" t="str">
        <x:v>示例</x:v>
      </x:c>
    </x:row>
    <x:row r="5" ht="40" customHeight="1">
      <x:c r="A5" s="20" t="str">
        <x:v>台词ID line_id</x:v>
      </x:c>
      <x:c r="B5" s="20" t="str">
        <x:v>触发与表演</x:v>
      </x:c>
      <x:c r="C5" s="20" t="str">
        <x:v>文本</x:v>
      </x:c>
      <x:c r="D5" s="20" t="str">
        <x:v>是</x:v>
      </x:c>
      <x:c r="E5" s="20" t="str">
        <x:v>按字段名用于对话检索、触发或审核</x:v>
      </x:c>
      <x:c r="F5" s="20" t="str">
        <x:v>ION_YASUO_MEET</x:v>
      </x:c>
    </x:row>
    <x:row r="6" ht="40" customHeight="1">
      <x:c r="A6" s="21" t="str">
        <x:v>英雄ID hero_id</x:v>
      </x:c>
      <x:c r="B6" s="21" t="str">
        <x:v>触发与表演</x:v>
      </x:c>
      <x:c r="C6" s="21" t="str">
        <x:v>文本</x:v>
      </x:c>
      <x:c r="D6" s="21" t="str">
        <x:v>是</x:v>
      </x:c>
      <x:c r="E6" s="21" t="str">
        <x:v>按字段名用于对话检索、触发或审核</x:v>
      </x:c>
      <x:c r="F6" s="21" t="str">
        <x:v>参见主表</x:v>
      </x:c>
    </x:row>
    <x:row r="7" ht="40" customHeight="1">
      <x:c r="A7" s="21" t="str">
        <x:v>英雄名</x:v>
      </x:c>
      <x:c r="B7" s="21" t="str">
        <x:v>触发与表演</x:v>
      </x:c>
      <x:c r="C7" s="21" t="str">
        <x:v>文本</x:v>
      </x:c>
      <x:c r="D7" s="21" t="str">
        <x:v>是</x:v>
      </x:c>
      <x:c r="E7" s="21" t="str">
        <x:v>按字段名用于对话检索、触发或审核</x:v>
      </x:c>
      <x:c r="F7" s="21" t="str">
        <x:v>参见主表</x:v>
      </x:c>
    </x:row>
    <x:row r="8" ht="40" customHeight="1">
      <x:c r="A8" s="21" t="str">
        <x:v>场景代码 scene_code</x:v>
      </x:c>
      <x:c r="B8" s="21" t="str">
        <x:v>触发与表演</x:v>
      </x:c>
      <x:c r="C8" s="21" t="str">
        <x:v>文本</x:v>
      </x:c>
      <x:c r="D8" s="21" t="str">
        <x:v>是</x:v>
      </x:c>
      <x:c r="E8" s="21" t="str">
        <x:v>按字段名用于对话检索、触发或审核</x:v>
      </x:c>
      <x:c r="F8" s="21" t="str">
        <x:v>参见主表</x:v>
      </x:c>
    </x:row>
    <x:row r="9" ht="40" customHeight="1">
      <x:c r="A9" s="21" t="str">
        <x:v>场景名称</x:v>
      </x:c>
      <x:c r="B9" s="21" t="str">
        <x:v>触发与表演</x:v>
      </x:c>
      <x:c r="C9" s="21" t="str">
        <x:v>文本</x:v>
      </x:c>
      <x:c r="D9" s="21" t="str">
        <x:v>是</x:v>
      </x:c>
      <x:c r="E9" s="21" t="str">
        <x:v>按字段名用于对话检索、触发或审核</x:v>
      </x:c>
      <x:c r="F9" s="21" t="str">
        <x:v>参见主表</x:v>
      </x:c>
    </x:row>
    <x:row r="10" ht="40" customHeight="1">
      <x:c r="A10" s="21" t="str">
        <x:v>触发条件</x:v>
      </x:c>
      <x:c r="B10" s="21" t="str">
        <x:v>触发与表演</x:v>
      </x:c>
      <x:c r="C10" s="21" t="str">
        <x:v>文本</x:v>
      </x:c>
      <x:c r="D10" s="21" t="str">
        <x:v>是</x:v>
      </x:c>
      <x:c r="E10" s="21" t="str">
        <x:v>按字段名用于对话检索、触发或审核</x:v>
      </x:c>
      <x:c r="F10" s="21" t="str">
        <x:v>参见主表</x:v>
      </x:c>
    </x:row>
    <x:row r="11" ht="40" customHeight="1">
      <x:c r="A11" s="21" t="str">
        <x:v>对话对象</x:v>
      </x:c>
      <x:c r="B11" s="21" t="str">
        <x:v>触发与表演</x:v>
      </x:c>
      <x:c r="C11" s="21" t="str">
        <x:v>文本</x:v>
      </x:c>
      <x:c r="D11" s="21" t="str">
        <x:v>否</x:v>
      </x:c>
      <x:c r="E11" s="21" t="str">
        <x:v>按字段名用于对话检索、触发或审核</x:v>
      </x:c>
      <x:c r="F11" s="21" t="str">
        <x:v>参见主表</x:v>
      </x:c>
    </x:row>
    <x:row r="12" ht="40" customHeight="1">
      <x:c r="A12" s="21" t="str">
        <x:v>主情绪</x:v>
      </x:c>
      <x:c r="B12" s="21" t="str">
        <x:v>触发与表演</x:v>
      </x:c>
      <x:c r="C12" s="21" t="str">
        <x:v>文本</x:v>
      </x:c>
      <x:c r="D12" s="21" t="str">
        <x:v>是</x:v>
      </x:c>
      <x:c r="E12" s="21" t="str">
        <x:v>按字段名用于对话检索、触发或审核</x:v>
      </x:c>
      <x:c r="F12" s="21" t="str">
        <x:v>参见主表</x:v>
      </x:c>
    </x:row>
    <x:row r="13" ht="40" customHeight="1">
      <x:c r="A13" s="21" t="str">
        <x:v>次情绪</x:v>
      </x:c>
      <x:c r="B13" s="21" t="str">
        <x:v>触发与表演</x:v>
      </x:c>
      <x:c r="C13" s="21" t="str">
        <x:v>文本</x:v>
      </x:c>
      <x:c r="D13" s="21" t="str">
        <x:v>否</x:v>
      </x:c>
      <x:c r="E13" s="21" t="str">
        <x:v>按字段名用于对话检索、触发或审核</x:v>
      </x:c>
      <x:c r="F13" s="21" t="str">
        <x:v>参见主表</x:v>
      </x:c>
    </x:row>
    <x:row r="14" ht="40" customHeight="1">
      <x:c r="A14" s="21" t="str">
        <x:v>强度1-5</x:v>
      </x:c>
      <x:c r="B14" s="21" t="str">
        <x:v>触发与表演</x:v>
      </x:c>
      <x:c r="C14" s="21" t="str">
        <x:v>整数</x:v>
      </x:c>
      <x:c r="D14" s="21" t="str">
        <x:v>是</x:v>
      </x:c>
      <x:c r="E14" s="21" t="str">
        <x:v>按字段名用于对话检索、触发或审核</x:v>
      </x:c>
      <x:c r="F14" s="21" t="str">
        <x:v>参见主表</x:v>
      </x:c>
    </x:row>
    <x:row r="15" ht="40" customHeight="1">
      <x:c r="A15" s="21" t="str">
        <x:v>游戏内中文台词 text_cn</x:v>
      </x:c>
      <x:c r="B15" s="21" t="str">
        <x:v>游戏内容与规则</x:v>
      </x:c>
      <x:c r="C15" s="21" t="str">
        <x:v>文本</x:v>
      </x:c>
      <x:c r="D15" s="21" t="str">
        <x:v>是</x:v>
      </x:c>
      <x:c r="E15" s="21" t="str">
        <x:v>英雄在本 RPG 中直接对玩家说出的原创中文台词</x:v>
      </x:c>
      <x:c r="F15" s="21" t="str">
        <x:v>我只是路过。</x:v>
      </x:c>
    </x:row>
    <x:row r="16" ht="40" customHeight="1">
      <x:c r="A16" s="21" t="str">
        <x:v>语气与表演提示</x:v>
      </x:c>
      <x:c r="B16" s="21" t="str">
        <x:v>游戏内容与规则</x:v>
      </x:c>
      <x:c r="C16" s="21" t="str">
        <x:v>文本</x:v>
      </x:c>
      <x:c r="D16" s="21" t="str">
        <x:v>否</x:v>
      </x:c>
      <x:c r="E16" s="21" t="str">
        <x:v>按字段名用于对话检索、触发或审核</x:v>
      </x:c>
      <x:c r="F16" s="21" t="str">
        <x:v>参见主表</x:v>
      </x:c>
    </x:row>
    <x:row r="17" ht="40" customHeight="1">
      <x:c r="A17" s="21" t="str">
        <x:v>建议时长秒</x:v>
      </x:c>
      <x:c r="B17" s="21" t="str">
        <x:v>游戏内容与规则</x:v>
      </x:c>
      <x:c r="C17" s="21" t="str">
        <x:v>整数</x:v>
      </x:c>
      <x:c r="D17" s="21" t="str">
        <x:v>否</x:v>
      </x:c>
      <x:c r="E17" s="21" t="str">
        <x:v>按字段名用于对话检索、触发或审核</x:v>
      </x:c>
      <x:c r="F17" s="21" t="str">
        <x:v>参见主表</x:v>
      </x:c>
    </x:row>
    <x:row r="18" ht="40" customHeight="1">
      <x:c r="A18" s="21" t="str">
        <x:v>关系值下限</x:v>
      </x:c>
      <x:c r="B18" s="21" t="str">
        <x:v>游戏内容与规则</x:v>
      </x:c>
      <x:c r="C18" s="21" t="str">
        <x:v>整数</x:v>
      </x:c>
      <x:c r="D18" s="21" t="str">
        <x:v>是</x:v>
      </x:c>
      <x:c r="E18" s="21" t="str">
        <x:v>按字段名用于对话检索、触发或审核</x:v>
      </x:c>
      <x:c r="F18" s="21" t="str">
        <x:v>参见主表</x:v>
      </x:c>
    </x:row>
    <x:row r="19" ht="40" customHeight="1">
      <x:c r="A19" s="21" t="str">
        <x:v>章节限制</x:v>
      </x:c>
      <x:c r="B19" s="21" t="str">
        <x:v>游戏内容与规则</x:v>
      </x:c>
      <x:c r="C19" s="21" t="str">
        <x:v>文本</x:v>
      </x:c>
      <x:c r="D19" s="21" t="str">
        <x:v>否</x:v>
      </x:c>
      <x:c r="E19" s="21" t="str">
        <x:v>按字段名用于对话检索、触发或审核</x:v>
      </x:c>
      <x:c r="F19" s="21" t="str">
        <x:v>参见主表</x:v>
      </x:c>
    </x:row>
    <x:row r="20" ht="40" customHeight="1">
      <x:c r="A20" s="21" t="str">
        <x:v>地点限制</x:v>
      </x:c>
      <x:c r="B20" s="21" t="str">
        <x:v>游戏内容与规则</x:v>
      </x:c>
      <x:c r="C20" s="21" t="str">
        <x:v>文本</x:v>
      </x:c>
      <x:c r="D20" s="21" t="str">
        <x:v>否</x:v>
      </x:c>
      <x:c r="E20" s="21" t="str">
        <x:v>按字段名用于对话检索、触发或审核</x:v>
      </x:c>
      <x:c r="F20" s="21" t="str">
        <x:v>参见主表</x:v>
      </x:c>
    </x:row>
    <x:row r="21" ht="40" customHeight="1">
      <x:c r="A21" s="21" t="str">
        <x:v>是否一次性</x:v>
      </x:c>
      <x:c r="B21" s="21" t="str">
        <x:v>游戏内容与规则</x:v>
      </x:c>
      <x:c r="C21" s="21" t="str">
        <x:v>文本</x:v>
      </x:c>
      <x:c r="D21" s="21" t="str">
        <x:v>是</x:v>
      </x:c>
      <x:c r="E21" s="21" t="str">
        <x:v>按字段名用于对话检索、触发或审核</x:v>
      </x:c>
      <x:c r="F21" s="21" t="str">
        <x:v>参见主表</x:v>
      </x:c>
    </x:row>
    <x:row r="22" ht="40" customHeight="1">
      <x:c r="A22" s="21" t="str">
        <x:v>触发权重</x:v>
      </x:c>
      <x:c r="B22" s="21" t="str">
        <x:v>游戏内容与规则</x:v>
      </x:c>
      <x:c r="C22" s="21" t="str">
        <x:v>整数</x:v>
      </x:c>
      <x:c r="D22" s="21" t="str">
        <x:v>是</x:v>
      </x:c>
      <x:c r="E22" s="21" t="str">
        <x:v>按字段名用于对话检索、触发或审核</x:v>
      </x:c>
      <x:c r="F22" s="21" t="str">
        <x:v>参见主表</x:v>
      </x:c>
    </x:row>
    <x:row r="23" ht="40" customHeight="1">
      <x:c r="A23" s="21" t="str">
        <x:v>关联人格键</x:v>
      </x:c>
      <x:c r="B23" s="21" t="str">
        <x:v>游戏内容与规则</x:v>
      </x:c>
      <x:c r="C23" s="21" t="str">
        <x:v>文本</x:v>
      </x:c>
      <x:c r="D23" s="21" t="str">
        <x:v>是</x:v>
      </x:c>
      <x:c r="E23" s="21" t="str">
        <x:v>peace/power/freedom/spirit/destiny 之一</x:v>
      </x:c>
      <x:c r="F23" s="21" t="str">
        <x:v>参见主表</x:v>
      </x:c>
    </x:row>
    <x:row r="24" ht="40" customHeight="1">
      <x:c r="A24" s="21" t="str">
        <x:v>关联命运键</x:v>
      </x:c>
      <x:c r="B24" s="21" t="str">
        <x:v>游戏内容与规则</x:v>
      </x:c>
      <x:c r="C24" s="21" t="str">
        <x:v>文本</x:v>
      </x:c>
      <x:c r="D24" s="21" t="str">
        <x:v>是</x:v>
      </x:c>
      <x:c r="E24" s="21" t="str">
        <x:v>guardian/strong/wanderer/spirit_fate/breaker 之一</x:v>
      </x:c>
      <x:c r="F24" s="21" t="str">
        <x:v>参见主表</x:v>
      </x:c>
    </x:row>
    <x:row r="25" ht="40" customHeight="1">
      <x:c r="A25" s="21" t="str">
        <x:v>冷却事件数</x:v>
      </x:c>
      <x:c r="B25" s="21" t="str">
        <x:v>游戏内容与规则</x:v>
      </x:c>
      <x:c r="C25" s="21" t="str">
        <x:v>整数</x:v>
      </x:c>
      <x:c r="D25" s="21" t="str">
        <x:v>是</x:v>
      </x:c>
      <x:c r="E25" s="21" t="str">
        <x:v>按字段名用于对话检索、触发或审核</x:v>
      </x:c>
      <x:c r="F25" s="21" t="str">
        <x:v>参见主表</x:v>
      </x:c>
    </x:row>
    <x:row r="26" ht="40" customHeight="1">
      <x:c r="A26" s="21" t="str">
        <x:v>音频文件名</x:v>
      </x:c>
      <x:c r="B26" s="21" t="str">
        <x:v>游戏内容与规则</x:v>
      </x:c>
      <x:c r="C26" s="21" t="str">
        <x:v>文本</x:v>
      </x:c>
      <x:c r="D26" s="21" t="str">
        <x:v>否</x:v>
      </x:c>
      <x:c r="E26" s="21" t="str">
        <x:v>由台词ID公式生成的音频文件名</x:v>
      </x:c>
      <x:c r="F26" s="21" t="str">
        <x:v>参见主表</x:v>
      </x:c>
    </x:row>
    <x:row r="27" ht="40" customHeight="1">
      <x:c r="A27" s="21" t="str">
        <x:v>审核状态</x:v>
      </x:c>
      <x:c r="B27" s="21" t="str">
        <x:v>审核与来源</x:v>
      </x:c>
      <x:c r="C27" s="21" t="str">
        <x:v>文本</x:v>
      </x:c>
      <x:c r="D27" s="21" t="str">
        <x:v>是</x:v>
      </x:c>
      <x:c r="E27" s="21" t="str">
        <x:v>按字段名用于对话检索、触发或审核</x:v>
      </x:c>
      <x:c r="F27" s="21" t="str">
        <x:v>参见主表</x:v>
      </x:c>
    </x:row>
    <x:row r="28" ht="40" customHeight="1">
      <x:c r="A28" s="21" t="str">
        <x:v>审核备注</x:v>
      </x:c>
      <x:c r="B28" s="21" t="str">
        <x:v>审核与来源</x:v>
      </x:c>
      <x:c r="C28" s="21" t="str">
        <x:v>文本</x:v>
      </x:c>
      <x:c r="D28" s="21" t="str">
        <x:v>否</x:v>
      </x:c>
      <x:c r="E28" s="21" t="str">
        <x:v>按字段名用于对话检索、触发或审核</x:v>
      </x:c>
      <x:c r="F28" s="21" t="str">
        <x:v>参见主表</x:v>
      </x:c>
    </x:row>
    <x:row r="29" ht="40" customHeight="1">
      <x:c r="A29" s="22" t="str">
        <x:v>官方资料URL</x:v>
      </x:c>
      <x:c r="B29" s="22" t="str">
        <x:v>审核与来源</x:v>
      </x:c>
      <x:c r="C29" s="22" t="str">
        <x:v>文本</x:v>
      </x:c>
      <x:c r="D29" s="22" t="str">
        <x:v>否</x:v>
      </x:c>
      <x:c r="E29" s="22" t="str">
        <x:v>按字段名用于对话检索、触发或审核</x:v>
      </x:c>
      <x:c r="F29" s="22" t="str">
        <x:v>参见主表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2" hidden="0" customWidth="1"/>
    <x:col min="3" max="3" width="40" hidden="0" customWidth="1"/>
    <x:col min="4" max="4" width="48" hidden="0" customWidth="1"/>
    <x:col min="5" max="5" width="36" hidden="0" customWidth="1"/>
    <x:col min="6" max="6" width="44" hidden="0" customWidth="1"/>
  </x:cols>
  <x:sheetData>
    <x:row r="1" ht="32" customHeight="1">
      <x:c r="A1" s="3" t="str">
        <x:v>游戏台词场景与审核标准</x:v>
      </x:c>
      <x:c r="B1" s="3"/>
      <x:c r="C1" s="3"/>
      <x:c r="D1" s="3"/>
      <x:c r="E1" s="3"/>
      <x:c r="F1" s="3"/>
    </x:row>
    <x:row r="2" ht="34" customHeight="1">
      <x:c r="A2" s="7" t="str">
        <x:v>每条台词必须服务明确场景、符合角色人格与游戏数值，并保持项目的第二人称叙述习惯。</x:v>
      </x:c>
      <x:c r="B2" s="7"/>
      <x:c r="C2" s="7"/>
      <x:c r="D2" s="7"/>
      <x:c r="E2" s="7"/>
      <x:c r="F2" s="7"/>
    </x:row>
    <x:row r="4">
      <x:c r="A4" s="12" t="str">
        <x:v>类别</x:v>
      </x:c>
      <x:c r="B4" s="12" t="str">
        <x:v>代码/规则</x:v>
      </x:c>
      <x:c r="C4" s="12" t="str">
        <x:v>定义</x:v>
      </x:c>
      <x:c r="D4" s="12" t="str">
        <x:v>通过条件</x:v>
      </x:c>
      <x:c r="E4" s="12" t="str">
        <x:v>失败处理</x:v>
      </x:c>
      <x:c r="F4" s="12" t="str">
        <x:v>备注</x:v>
      </x:c>
    </x:row>
    <x:row r="5" ht="42" customHeight="1">
      <x:c r="A5" s="20" t="str">
        <x:v>场景</x:v>
      </x:c>
      <x:c r="B5" s="20" t="str">
        <x:v>MEET</x:v>
      </x:c>
      <x:c r="C5" s="20" t="str">
        <x:v>初次相遇</x:v>
      </x:c>
      <x:c r="D5" s="20" t="str">
        <x:v>玩家第一次接近角色</x:v>
      </x:c>
      <x:c r="E5" s="20" t="str">
        <x:v>调整触发条件或重写台词</x:v>
      </x:c>
      <x:c r="F5" s="20" t="str">
        <x:v>默认主情绪：审视；强度：2</x:v>
      </x:c>
    </x:row>
    <x:row r="6" ht="42" customHeight="1">
      <x:c r="A6" s="21" t="str">
        <x:v>场景</x:v>
      </x:c>
      <x:c r="B6" s="21" t="str">
        <x:v>GREET</x:v>
      </x:c>
      <x:c r="C6" s="21" t="str">
        <x:v>友好问候</x:v>
      </x:c>
      <x:c r="D6" s="21" t="str">
        <x:v>关系值达到友好后进入对话</x:v>
      </x:c>
      <x:c r="E6" s="21" t="str">
        <x:v>调整触发条件或重写台词</x:v>
      </x:c>
      <x:c r="F6" s="21" t="str">
        <x:v>默认主情绪：友善；强度：2</x:v>
      </x:c>
    </x:row>
    <x:row r="7" ht="42" customHeight="1">
      <x:c r="A7" s="21" t="str">
        <x:v>场景</x:v>
      </x:c>
      <x:c r="B7" s="21" t="str">
        <x:v>WARN</x:v>
      </x:c>
      <x:c r="C7" s="21" t="str">
        <x:v>危险警告</x:v>
      </x:c>
      <x:c r="D7" s="21" t="str">
        <x:v>区域威胁或伏击即将发生</x:v>
      </x:c>
      <x:c r="E7" s="21" t="str">
        <x:v>调整触发条件或重写台词</x:v>
      </x:c>
      <x:c r="F7" s="21" t="str">
        <x:v>默认主情绪：紧张；强度：3</x:v>
      </x:c>
    </x:row>
    <x:row r="8" ht="42" customHeight="1">
      <x:c r="A8" s="21" t="str">
        <x:v>场景</x:v>
      </x:c>
      <x:c r="B8" s="21" t="str">
        <x:v>REFUSE</x:v>
      </x:c>
      <x:c r="C8" s="21" t="str">
        <x:v>拒绝请求</x:v>
      </x:c>
      <x:c r="D8" s="21" t="str">
        <x:v>玩家请求触碰角色底线</x:v>
      </x:c>
      <x:c r="E8" s="21" t="str">
        <x:v>调整触发条件或重写台词</x:v>
      </x:c>
      <x:c r="F8" s="21" t="str">
        <x:v>默认主情绪：拒绝；强度：3</x:v>
      </x:c>
    </x:row>
    <x:row r="9" ht="42" customHeight="1">
      <x:c r="A9" s="21" t="str">
        <x:v>场景</x:v>
      </x:c>
      <x:c r="B9" s="21" t="str">
        <x:v>TRUST</x:v>
      </x:c>
      <x:c r="C9" s="21" t="str">
        <x:v>建立信任</x:v>
      </x:c>
      <x:c r="D9" s="21" t="str">
        <x:v>玩家满足角色的信任条件</x:v>
      </x:c>
      <x:c r="E9" s="21" t="str">
        <x:v>调整触发条件或重写台词</x:v>
      </x:c>
      <x:c r="F9" s="21" t="str">
        <x:v>默认主情绪：信任；强度：3</x:v>
      </x:c>
    </x:row>
    <x:row r="10" ht="42" customHeight="1">
      <x:c r="A10" s="21" t="str">
        <x:v>场景</x:v>
      </x:c>
      <x:c r="B10" s="21" t="str">
        <x:v>ANGER</x:v>
      </x:c>
      <x:c r="C10" s="21" t="str">
        <x:v>被激怒</x:v>
      </x:c>
      <x:c r="D10" s="21" t="str">
        <x:v>玩家触发角色主要怒点</x:v>
      </x:c>
      <x:c r="E10" s="21" t="str">
        <x:v>调整触发条件或重写台词</x:v>
      </x:c>
      <x:c r="F10" s="21" t="str">
        <x:v>默认主情绪：愤怒；强度：4</x:v>
      </x:c>
    </x:row>
    <x:row r="11" ht="42" customHeight="1">
      <x:c r="A11" s="21" t="str">
        <x:v>场景</x:v>
      </x:c>
      <x:c r="B11" s="21" t="str">
        <x:v>HURT</x:v>
      </x:c>
      <x:c r="C11" s="21" t="str">
        <x:v>受伤反馈</x:v>
      </x:c>
      <x:c r="D11" s="21" t="str">
        <x:v>角色受到重击但仍可行动</x:v>
      </x:c>
      <x:c r="E11" s="21" t="str">
        <x:v>调整触发条件或重写台词</x:v>
      </x:c>
      <x:c r="F11" s="21" t="str">
        <x:v>默认主情绪：痛苦；强度：4</x:v>
      </x:c>
    </x:row>
    <x:row r="12" ht="42" customHeight="1">
      <x:c r="A12" s="21" t="str">
        <x:v>场景</x:v>
      </x:c>
      <x:c r="B12" s="21" t="str">
        <x:v>COMBAT</x:v>
      </x:c>
      <x:c r="C12" s="21" t="str">
        <x:v>战斗行动</x:v>
      </x:c>
      <x:c r="D12" s="21" t="str">
        <x:v>角色发动标志性行动</x:v>
      </x:c>
      <x:c r="E12" s="21" t="str">
        <x:v>调整触发条件或重写台词</x:v>
      </x:c>
      <x:c r="F12" s="21" t="str">
        <x:v>默认主情绪：战意；强度：4</x:v>
      </x:c>
    </x:row>
    <x:row r="13" ht="42" customHeight="1">
      <x:c r="A13" s="21" t="str">
        <x:v>场景</x:v>
      </x:c>
      <x:c r="B13" s="21" t="str">
        <x:v>VICTORY</x:v>
      </x:c>
      <x:c r="C13" s="21" t="str">
        <x:v>战斗胜利</x:v>
      </x:c>
      <x:c r="D13" s="21" t="str">
        <x:v>威胁解除并进入结算</x:v>
      </x:c>
      <x:c r="E13" s="21" t="str">
        <x:v>调整触发条件或重写台词</x:v>
      </x:c>
      <x:c r="F13" s="21" t="str">
        <x:v>默认主情绪：释然；强度：3</x:v>
      </x:c>
    </x:row>
    <x:row r="14" ht="42" customHeight="1">
      <x:c r="A14" s="21" t="str">
        <x:v>场景</x:v>
      </x:c>
      <x:c r="B14" s="21" t="str">
        <x:v>DEFEAT</x:v>
      </x:c>
      <x:c r="C14" s="21" t="str">
        <x:v>失败撤退</x:v>
      </x:c>
      <x:c r="D14" s="21" t="str">
        <x:v>角色被迫撤离或计划失败</x:v>
      </x:c>
      <x:c r="E14" s="21" t="str">
        <x:v>调整触发条件或重写台词</x:v>
      </x:c>
      <x:c r="F14" s="21" t="str">
        <x:v>默认主情绪：挫败；强度：4</x:v>
      </x:c>
    </x:row>
    <x:row r="15" ht="42" customHeight="1">
      <x:c r="A15" s="21" t="str">
        <x:v>场景</x:v>
      </x:c>
      <x:c r="B15" s="21" t="str">
        <x:v>LORE</x:v>
      </x:c>
      <x:c r="C15" s="21" t="str">
        <x:v>世界观讲述</x:v>
      </x:c>
      <x:c r="D15" s="21" t="str">
        <x:v>玩家询问人物、地点或往事</x:v>
      </x:c>
      <x:c r="E15" s="21" t="str">
        <x:v>调整触发条件或重写台词</x:v>
      </x:c>
      <x:c r="F15" s="21" t="str">
        <x:v>默认主情绪：叙述；强度：2</x:v>
      </x:c>
    </x:row>
    <x:row r="16" ht="42" customHeight="1">
      <x:c r="A16" s="21" t="str">
        <x:v>场景</x:v>
      </x:c>
      <x:c r="B16" s="21" t="str">
        <x:v>FAREWELL</x:v>
      </x:c>
      <x:c r="C16" s="21" t="str">
        <x:v>阶段告别</x:v>
      </x:c>
      <x:c r="D16" s="21" t="str">
        <x:v>事件结束或角色离开队伍</x:v>
      </x:c>
      <x:c r="E16" s="21" t="str">
        <x:v>调整触发条件或重写台词</x:v>
      </x:c>
      <x:c r="F16" s="21" t="str">
        <x:v>默认主情绪：告别；强度：3</x:v>
      </x:c>
    </x:row>
    <x:row r="17" ht="42" customHeight="1">
      <x:c r="A17" s="21" t="str">
        <x:v>内容</x:v>
      </x:c>
      <x:c r="B17" s="21" t="str">
        <x:v>原创性</x:v>
      </x:c>
      <x:c r="C17" s="21" t="str">
        <x:v>不得复制官方现成台词或故事原句</x:v>
      </x:c>
      <x:c r="D17" s="21" t="str">
        <x:v>通过人工检索与世界观审核</x:v>
      </x:c>
      <x:c r="E17" s="21" t="str">
        <x:v>标记禁用并重写</x:v>
      </x:c>
      <x:c r="F17" s="21" t="str">
        <x:v>可使用角色事实，不复制表达</x:v>
      </x:c>
    </x:row>
    <x:row r="18" ht="42" customHeight="1">
      <x:c r="A18" s="21" t="str">
        <x:v>内容</x:v>
      </x:c>
      <x:c r="B18" s="21" t="str">
        <x:v>人物一致性</x:v>
      </x:c>
      <x:c r="C18" s="21" t="str">
        <x:v>欲望、恐惧、底线和语言节奏一致</x:v>
      </x:c>
      <x:c r="D18" s="21" t="str">
        <x:v>与人格主表和声线规格不冲突</x:v>
      </x:c>
      <x:c r="E18" s="21" t="str">
        <x:v>调整措辞或触发条件</x:v>
      </x:c>
      <x:c r="F18" s="21" t="str">
        <x:v>不得只靠口头禅识别角色</x:v>
      </x:c>
    </x:row>
    <x:row r="19" ht="42" customHeight="1">
      <x:c r="A19" s="21" t="str">
        <x:v>系统</x:v>
      </x:c>
      <x:c r="B19" s="21" t="str">
        <x:v>属性关联</x:v>
      </x:c>
      <x:c r="C19" s="21" t="str">
        <x:v>关联一个五维人格键与对应命运键</x:v>
      </x:c>
      <x:c r="D19" s="21" t="str">
        <x:v>键名属于游戏现有枚举</x:v>
      </x:c>
      <x:c r="E19" s="21" t="str">
        <x:v>修正字段</x:v>
      </x:c>
      <x:c r="F19" s="21" t="str">
        <x:v>peace→guardian 等映射固定</x:v>
      </x:c>
    </x:row>
    <x:row r="20" ht="42" customHeight="1">
      <x:c r="A20" s="21" t="str">
        <x:v>系统</x:v>
      </x:c>
      <x:c r="B20" s="21" t="str">
        <x:v>关系门槛</x:v>
      </x:c>
      <x:c r="C20" s="21" t="str">
        <x:v>信任/敌对类台词必须设定关系值下限</x:v>
      </x:c>
      <x:c r="D20" s="21" t="str">
        <x:v>数值位于 -100 至 100</x:v>
      </x:c>
      <x:c r="E20" s="21" t="str">
        <x:v>修正门槛</x:v>
      </x:c>
      <x:c r="F20" s="21" t="str">
        <x:v>普通环境台词可为0</x:v>
      </x:c>
    </x:row>
    <x:row r="21" ht="42" customHeight="1">
      <x:c r="A21" s="21" t="str">
        <x:v>叙事</x:v>
      </x:c>
      <x:c r="B21" s="21" t="str">
        <x:v>玩家称谓</x:v>
      </x:c>
      <x:c r="C21" s="21" t="str">
        <x:v>英雄直接对玩家说话时统一使用“你”</x:v>
      </x:c>
      <x:c r="D21" s="21" t="str">
        <x:v>不使用未定义玩家姓名</x:v>
      </x:c>
      <x:c r="E21" s="21" t="str">
        <x:v>重写</x:v>
      </x:c>
      <x:c r="F21" s="21" t="str">
        <x:v>符合全程第二人称规则</x:v>
      </x:c>
    </x:row>
    <x:row r="22" ht="42" customHeight="1">
      <x:c r="A22" s="21" t="str">
        <x:v>审核</x:v>
      </x:c>
      <x:c r="B22" s="21" t="str">
        <x:v>待审核</x:v>
      </x:c>
      <x:c r="C22" s="21" t="str">
        <x:v>原创台词已写入但未通过世界观复核</x:v>
      </x:c>
      <x:c r="D22" s="21" t="str">
        <x:v>不可进入正式构建</x:v>
      </x:c>
      <x:c r="E22" s="21" t="str">
        <x:v>分配审核人</x:v>
      </x:c>
      <x:c r="F22" s="21" t="str">
        <x:v>默认状态</x:v>
      </x:c>
    </x:row>
    <x:row r="23" ht="42" customHeight="1">
      <x:c r="A23" s="21" t="str">
        <x:v>审核</x:v>
      </x:c>
      <x:c r="B23" s="21" t="str">
        <x:v>已审核</x:v>
      </x:c>
      <x:c r="C23" s="21" t="str">
        <x:v>世界观、角色语气和触发字段均通过</x:v>
      </x:c>
      <x:c r="D23" s="21" t="str">
        <x:v>允许进入游戏数据</x:v>
      </x:c>
      <x:c r="E23" s="21" t="str">
        <x:v>生成音频或直接使用文本</x:v>
      </x:c>
      <x:c r="F23" s="21" t="str"/>
    </x:row>
    <x:row r="24" ht="42" customHeight="1">
      <x:c r="A24" s="22" t="str">
        <x:v>审核</x:v>
      </x:c>
      <x:c r="B24" s="22" t="str">
        <x:v>已录入游戏</x:v>
      </x:c>
      <x:c r="C24" s="22" t="str">
        <x:v>已进入后端并通过运行测试</x:v>
      </x:c>
      <x:c r="D24" s="22" t="str">
        <x:v>可在事件中触发</x:v>
      </x:c>
      <x:c r="E24" s="22" t="str">
        <x:v>纳入版本管理</x:v>
      </x:c>
      <x:c r="F24" s="22" t="str"/>
    </x:row>
  </x:sheetData>
  <x:mergeCells>
    <x:mergeCell ref="A1:F1"/>
    <x:mergeCell ref="A2:F2"/>
  </x:mergeCells>
  <x:pageMargins left="0.7" right="0.7" top="0.75" bottom="0.75" header="0.3" footer="0.3"/>
</x:worksheet>
</file>