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f7c81e3cf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cd263aeb6264b38"/>
    <x:sheet xmlns:r="http://schemas.openxmlformats.org/officeDocument/2006/relationships" name="游戏属性标准" sheetId="2" r:id="Rc70733b16de4400d"/>
    <x:sheet xmlns:r="http://schemas.openxmlformats.org/officeDocument/2006/relationships" name="英雄人格主表" sheetId="3" r:id="R3a771e1c9ed740b3"/>
    <x:sheet xmlns:r="http://schemas.openxmlformats.org/officeDocument/2006/relationships" name="AI行为规则" sheetId="4" r:id="Rc7407c2e9947417c"/>
    <x:sheet xmlns:r="http://schemas.openxmlformats.org/officeDocument/2006/relationships" name="字段字典" sheetId="5" r:id="R33f57e10788e4f5c"/>
    <x:sheet xmlns:r="http://schemas.openxmlformats.org/officeDocument/2006/relationships" name="枚举与评分" sheetId="6" r:id="R3fe54c448496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C9D8D1"/>
      <x:name val="Carlito"/>
    </x:font>
    <x:font>
      <x:b/>
      <x:sz val="10"/>
      <x:color rgb="FFFFFFFF"/>
      <x:name val="Carlito"/>
    </x:font>
    <x:font>
      <x:sz val="9"/>
      <x:color rgb="FF26352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01D"/>
      </x:patternFill>
    </x:fill>
    <x:fill>
      <x:patternFill patternType="solid">
        <x:fgColor rgb="FF17332E"/>
      </x:patternFill>
    </x:fill>
    <x:fill>
      <x:patternFill patternType="solid">
        <x:fgColor rgb="FF2F675B"/>
      </x:patternFill>
    </x:fill>
    <x:fill>
      <x:patternFill patternType="solid">
        <x:fgColor rgb="FFEEF4F0"/>
      </x:patternFill>
    </x:fill>
    <x:fill>
      <x:patternFill patternType="solid">
        <x:fgColor rgb="FFE8EFF4"/>
      </x:patternFill>
    </x:fill>
    <x:fill>
      <x:patternFill patternType="solid">
        <x:fgColor rgb="FFFBF5E6"/>
      </x:patternFill>
    </x:fill>
    <x:fill>
      <x:patternFill patternType="solid">
        <x:fgColor rgb="FFEEE8F5"/>
      </x:patternFill>
    </x:fill>
    <x:fill>
      <x:patternFill patternType="solid">
        <x:fgColor rgb="FFF2F3F0"/>
      </x:patternFill>
    </x:fill>
  </x:fills>
  <x:borders count="5">
    <x:border/>
    <x:border>
      <x:bottom style="medium">
        <x:color rgb="FFC8A45A"/>
      </x:bottom>
    </x:border>
    <x:border>
      <x:bottom style="thin">
        <x:color rgb="FFC9D4CD"/>
      </x:bottom>
    </x:border>
    <x:border>
      <x:top style="thin">
        <x:color rgb="FFC9D4CD"/>
      </x:top>
      <x:bottom style="thin">
        <x:color rgb="FFC9D4CD"/>
      </x:bottom>
    </x:border>
    <x:border>
      <x:top style="thin">
        <x:color rgb="FFC9D4CD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  <x:xf numFmtId="200" fontId="4" fillId="7" borderId="2" xfId="0" applyNumberFormat="1" applyFont="1" applyFill="1" applyBorder="1" applyAlignment="1">
      <x:alignment vertical="top" wrapText="1"/>
    </x:xf>
    <x:xf numFmtId="200" fontId="4" fillId="8" borderId="2" xfId="0" applyNumberFormat="1" applyFont="1" applyFill="1" applyBorder="1" applyAlignment="1">
      <x:alignment vertical="top" wrapText="1"/>
    </x:xf>
    <x:xf numFmtId="200" fontId="4" fillId="6" borderId="3" xfId="0" applyNumberFormat="1" applyFont="1" applyFill="1" applyBorder="1" applyAlignment="1">
      <x:alignment vertical="top" wrapText="1"/>
    </x:xf>
    <x:xf numFmtId="200" fontId="4" fillId="7" borderId="3" xfId="0" applyNumberFormat="1" applyFont="1" applyFill="1" applyBorder="1" applyAlignment="1">
      <x:alignment vertical="top" wrapText="1"/>
    </x:xf>
    <x:xf numFmtId="200" fontId="4" fillId="8" borderId="3" xfId="0" applyNumberFormat="1" applyFont="1" applyFill="1" applyBorder="1" applyAlignment="1">
      <x:alignment vertical="top" wrapText="1"/>
    </x:xf>
    <x:xf numFmtId="200" fontId="4" fillId="6" borderId="4" xfId="0" applyNumberFormat="1" applyFont="1" applyFill="1" applyBorder="1" applyAlignment="1">
      <x:alignment vertical="top" wrapText="1"/>
    </x:xf>
    <x:xf numFmtId="200" fontId="4" fillId="7" borderId="4" xfId="0" applyNumberFormat="1" applyFont="1" applyFill="1" applyBorder="1" applyAlignment="1">
      <x:alignment vertical="top" wrapText="1"/>
    </x:xf>
    <x:xf numFmtId="200" fontId="4" fillId="8" borderId="4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7A5A15"/>
      </x:font>
      <x:fill>
        <x:patternFill patternType="solid">
          <x:bgColor rgb="FFFFF0C7"/>
        </x:patternFill>
      </x:fill>
    </x:dxf>
    <x:dxf>
      <x:font>
        <x:color rgb="FF295B36"/>
      </x:font>
      <x:fill>
        <x:patternFill patternType="solid">
          <x:bgColor rgb="FFDCEEDD"/>
        </x:patternFill>
      </x:fill>
    </x:dxf>
    <x:dxf>
      <x:font>
        <x:color rgb="FF7A5A15"/>
      </x:font>
      <x:fill>
        <x:patternFill patternType="solid">
          <x:bgColor rgb="FFFFF0C7"/>
        </x:patternFill>
      </x:fill>
    </x:dxf>
    <x:dxf>
      <x:font>
        <x:color rgb="FF295B36"/>
      </x:font>
      <x:fill>
        <x:patternFill patternType="solid">
          <x:bgColor rgb="FFDCEE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744197430420d" /><Relationship Type="http://schemas.openxmlformats.org/officeDocument/2006/relationships/theme" Target="/xl/theme/theme1.xml" Id="Rafa17ca9ffdf4943" /><Relationship Type="http://schemas.openxmlformats.org/officeDocument/2006/relationships/sharedStrings" Target="/xl/sharedStrings.xml" Id="Ra9ce3ebe6c2c4dda" /><Relationship Type="http://schemas.openxmlformats.org/officeDocument/2006/relationships/worksheet" Target="/xl/worksheets/sheet1.xml" Id="R2cd263aeb6264b38" /><Relationship Type="http://schemas.openxmlformats.org/officeDocument/2006/relationships/worksheet" Target="/xl/worksheets/sheet2.xml" Id="Rc70733b16de4400d" /><Relationship Type="http://schemas.openxmlformats.org/officeDocument/2006/relationships/worksheet" Target="/xl/worksheets/sheet3.xml" Id="R3a771e1c9ed740b3" /><Relationship Type="http://schemas.openxmlformats.org/officeDocument/2006/relationships/worksheet" Target="/xl/worksheets/sheet4.xml" Id="Rc7407c2e9947417c" /><Relationship Type="http://schemas.openxmlformats.org/officeDocument/2006/relationships/worksheet" Target="/xl/worksheets/sheet5.xml" Id="R33f57e10788e4f5c" /><Relationship Type="http://schemas.openxmlformats.org/officeDocument/2006/relationships/worksheet" Target="/xl/worksheets/sheet6.xml" Id="R3fe54c4484964b1a" /></Relationships>
</file>

<file path=xl/tables/table1.xml><?xml version="1.0" encoding="utf-8"?>
<x:table xmlns:x="http://schemas.openxmlformats.org/spreadsheetml/2006/main" id="1" name="HeroGameStatsTable" displayName="HeroGameStatsTable" ref="A4:Z26" headerRowCount="1" totalsRowCount="0" totalsRowShown="0">
  <x:tableColumns count="26">
    <x:tableColumn id="1" name="英雄ID hero_id"/>
    <x:tableColumn id="2" name="英雄名"/>
    <x:tableColumn id="3" name="称号"/>
    <x:tableColumn id="4" name="战斗定位"/>
    <x:tableColumn id="5" name="平衡级别"/>
    <x:tableColumn id="6" name="当前生命 hp"/>
    <x:tableColumn id="7" name="生命上限 max_hp"/>
    <x:tableColumn id="8" name="攻击力 attack"/>
    <x:tableColumn id="9" name="防御力 defense"/>
    <x:tableColumn id="10" name="法术强度 magic_power"/>
    <x:tableColumn id="11" name="魔法抗性 magic_resist"/>
    <x:tableColumn id="12" name="攻击速度 attack_speed"/>
    <x:tableColumn id="13" name="技能急速 skill_haste"/>
    <x:tableColumn id="14" name="战斗经验 combat_xp"/>
    <x:tableColumn id="15" name="和平倾向 peace"/>
    <x:tableColumn id="16" name="力量观 power"/>
    <x:tableColumn id="17" name="自由倾向 freedom"/>
    <x:tableColumn id="18" name="灵性亲和 spirit"/>
    <x:tableColumn id="19" name="命运态度 destiny"/>
    <x:tableColumn id="20" name="守护命运 guardian"/>
    <x:tableColumn id="21" name="强者命运 strong"/>
    <x:tableColumn id="22" name="流浪命运 wanderer"/>
    <x:tableColumn id="23" name="灵界命运 spirit_fate"/>
    <x:tableColumn id="24" name="破局命运 breaker"/>
    <x:tableColumn id="25" name="换算依据"/>
    <x:tableColumn id="26" name="审核状态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HeroPersonaTable" displayName="HeroPersonaTable" ref="A4:AN26" headerRowCount="1" totalsRowCount="0" totalsRowShown="0">
  <x:tableColumns count="40">
    <x:tableColumn id="1" name="英雄ID"/>
    <x:tableColumn id="2" name="英雄名"/>
    <x:tableColumn id="3" name="称号"/>
    <x:tableColumn id="4" name="物种"/>
    <x:tableColumn id="5" name="出身/活动地"/>
    <x:tableColumn id="6" name="当前状态"/>
    <x:tableColumn id="7" name="所属组织"/>
    <x:tableColumn id="8" name="官方来源URL"/>
    <x:tableColumn id="9" name="审核状态"/>
    <x:tableColumn id="10" name="人格版本"/>
    <x:tableColumn id="11" name="核心原型"/>
    <x:tableColumn id="12" name="公开面貌"/>
    <x:tableColumn id="13" name="私下真实"/>
    <x:tableColumn id="14" name="核心欲望"/>
    <x:tableColumn id="15" name="核心恐惧"/>
    <x:tableColumn id="16" name="价值优先级"/>
    <x:tableColumn id="17" name="道德底线"/>
    <x:tableColumn id="18" name="关键创伤"/>
    <x:tableColumn id="19" name="核心矛盾"/>
    <x:tableColumn id="20" name="防御机制"/>
    <x:tableColumn id="21" name="决策方式"/>
    <x:tableColumn id="22" name="冲突方式"/>
    <x:tableColumn id="23" name="社交距离"/>
    <x:tableColumn id="24" name="信任条件"/>
    <x:tableColumn id="25" name="愤怒触发"/>
    <x:tableColumn id="26" name="柔软点"/>
    <x:tableColumn id="27" name="对玩家初始态度"/>
    <x:tableColumn id="28" name="和平倾向"/>
    <x:tableColumn id="29" name="权力倾向"/>
    <x:tableColumn id="30" name="自由倾向"/>
    <x:tableColumn id="31" name="灵性亲和"/>
    <x:tableColumn id="32" name="命运态度"/>
    <x:tableColumn id="33" name="共情能力"/>
    <x:tableColumn id="34" name="自律程度"/>
    <x:tableColumn id="35" name="风险偏好"/>
    <x:tableColumn id="36" name="幽默方式"/>
    <x:tableColumn id="37" name="语言风格摘要"/>
    <x:tableColumn id="38" name="禁止偏离行为"/>
    <x:tableColumn id="39" name="编辑备注"/>
    <x:tableColumn id="40" name="资料完整度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eroBehaviorTable" displayName="HeroBehaviorTable" ref="A4:P26" headerRowCount="1" totalsRowCount="0" totalsRowShown="0">
  <x:tableColumns count="16">
    <x:tableColumn id="1" name="英雄ID"/>
    <x:tableColumn id="2" name="英雄名"/>
    <x:tableColumn id="3" name="默认关系姿态"/>
    <x:tableColumn id="4" name="愿意帮助的条件"/>
    <x:tableColumn id="5" name="转为敌对的条件"/>
    <x:tableColumn id="6" name="是否会欺骗"/>
    <x:tableColumn id="7" name="暴力阈值"/>
    <x:tableColumn id="8" name="结盟逻辑"/>
    <x:tableColumn id="9" name="拒绝规则"/>
    <x:tableColumn id="10" name="长期记忆钩子"/>
    <x:tableColumn id="11" name="事件功能"/>
    <x:tableColumn id="12" name="常见遭遇主题"/>
    <x:tableColumn id="13" name="战斗表达"/>
    <x:tableColumn id="14" name="对话一致性规则"/>
    <x:tableColumn id="15" name="AI提示词片段"/>
    <x:tableColumn id="16" name="审核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e5af6e375846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2cdb55b48a42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314547e2ad44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32" customHeight="1">
      <x:c r="A1" s="3" t="str">
        <x:v>艾欧尼亚22英雄人格数据库模板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面向 AI 事件生成、NPC 决策、对话一致性和后端结构化存储。版本 V1.0 · 2026-08-11</x:v>
      </x:c>
      <x:c r="B2" s="7"/>
      <x:c r="C2" s="7"/>
      <x:c r="D2" s="7"/>
      <x:c r="E2" s="7"/>
      <x:c r="F2" s="7"/>
      <x:c r="G2" s="7"/>
      <x:c r="H2" s="7"/>
    </x:row>
    <x:row r="4" ht="25" customHeight="1">
      <x:c r="A4" s="12" t="str">
        <x:v>模块</x:v>
      </x:c>
      <x:c r="B4" s="12" t="str">
        <x:v>使用方法</x:v>
      </x:c>
    </x:row>
    <x:row r="5" ht="42" customHeight="1">
      <x:c r="A5" s="20" t="str">
        <x:v>游戏属性标准</x:v>
      </x:c>
      <x:c r="B5" s="20" t="str">
        <x:v>权威导入表：逐角色提供 attributes、personality、fate_weights 三组后端字段；命运权重由人格公式自动生成。</x:v>
      </x:c>
    </x:row>
    <x:row r="6" ht="42" customHeight="1">
      <x:c r="A6" s="21" t="str">
        <x:v>英雄人格主表</x:v>
      </x:c>
      <x:c r="B6" s="21" t="str">
        <x:v>官方事实字段已预填；浅金色区域为策划推断字段，修改后需将审核状态改为“已复核”。</x:v>
      </x:c>
    </x:row>
    <x:row r="7" ht="42" customHeight="1">
      <x:c r="A7" s="21" t="str">
        <x:v>AI行为规则</x:v>
      </x:c>
      <x:c r="B7" s="21" t="str">
        <x:v>把人格转成可执行的帮助、敌对、拒绝、结盟和记忆规则，可直接拼入事件生成提示词。</x:v>
      </x:c>
    </x:row>
    <x:row r="8" ht="42" customHeight="1">
      <x:c r="A8" s="21" t="str">
        <x:v>字段字典</x:v>
      </x:c>
      <x:c r="B8" s="21" t="str">
        <x:v>规定字段类型、必填性和用途，后端建表或 JSON Schema 应以此为准。</x:v>
      </x:c>
    </x:row>
    <x:row r="9" ht="42" customHeight="1">
      <x:c r="A9" s="21" t="str">
        <x:v>枚举与评分</x:v>
      </x:c>
      <x:c r="B9" s="21" t="str">
        <x:v>统一审核状态、关系距离和 0–100 人格评分锚点。</x:v>
      </x:c>
    </x:row>
    <x:row r="10" ht="42" customHeight="1">
      <x:c r="A10" s="21" t="str">
        <x:v>22人范围</x:v>
      </x:c>
      <x:c r="B10" s="21" t="str">
        <x:v>沿用现有经典艾欧尼亚阵容；芸阿娜为后加入角色，本版未计入，可复制一行扩展。</x:v>
      </x:c>
    </x:row>
    <x:row r="11" ht="42" customHeight="1">
      <x:c r="A11" s="22" t="str">
        <x:v>版权边界</x:v>
      </x:c>
      <x:c r="B11" s="22" t="str">
        <x:v>人物事实依据 Riot 官方宇宙资料；人格分数与生成约束属于本项目策划推断，不宣称官方结论。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4" hidden="0" customWidth="1"/>
    <x:col min="4" max="4" width="16" hidden="0" customWidth="1"/>
    <x:col min="5" max="5" width="12" hidden="0" customWidth="1"/>
    <x:col min="6" max="6" width="14" hidden="0" customWidth="1"/>
    <x:col min="7" max="7" width="17" hidden="0" customWidth="1"/>
    <x:col min="8" max="8" width="14" hidden="0" customWidth="1"/>
    <x:col min="9" max="9" width="14" hidden="0" customWidth="1"/>
    <x:col min="10" max="10" width="19" hidden="0" customWidth="1"/>
    <x:col min="11" max="11" width="19" hidden="0" customWidth="1"/>
    <x:col min="12" max="12" width="19" hidden="0" customWidth="1"/>
    <x:col min="13" max="13" width="18" hidden="0" customWidth="1"/>
    <x:col min="14" max="14" width="18" hidden="0" customWidth="1"/>
    <x:col min="15" max="15" width="16" hidden="0" customWidth="1"/>
    <x:col min="16" max="16" width="14" hidden="0" customWidth="1"/>
    <x:col min="17" max="17" width="16" hidden="0" customWidth="1"/>
    <x:col min="18" max="18" width="16" hidden="0" customWidth="1"/>
    <x:col min="19" max="19" width="16" hidden="0" customWidth="1"/>
    <x:col min="20" max="20" width="18" hidden="0" customWidth="1"/>
    <x:col min="21" max="21" width="17" hidden="0" customWidth="1"/>
    <x:col min="22" max="22" width="19" hidden="0" customWidth="1"/>
    <x:col min="23" max="23" width="20" hidden="0" customWidth="1"/>
    <x:col min="24" max="24" width="18" hidden="0" customWidth="1"/>
    <x:col min="25" max="25" width="48" hidden="0" customWidth="1"/>
    <x:col min="26" max="26" width="14" hidden="0" customWidth="1"/>
  </x:cols>
  <x:sheetData>
    <x:row r="1" ht="32" customHeight="1">
      <x:c r="A1" s="3" t="str">
        <x:v>22位英雄游戏属性标准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4" customHeight="1">
      <x:c r="A2" s="7" t="str">
        <x:v>完全对应当前游戏 player 数据结构。命运权重按后端规则由五维人格自动计算：对应人格值 + 10；英雄战斗数值以第一章 BOSS（180生命/30攻击/22防御/15魔抗）为校准参照。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4" ht="46" customHeight="1">
      <x:c r="A4" s="12" t="str">
        <x:v>英雄ID hero_id</x:v>
      </x:c>
      <x:c r="B4" s="12" t="str">
        <x:v>英雄名</x:v>
      </x:c>
      <x:c r="C4" s="12" t="str">
        <x:v>称号</x:v>
      </x:c>
      <x:c r="D4" s="12" t="str">
        <x:v>战斗定位</x:v>
      </x:c>
      <x:c r="E4" s="12" t="str">
        <x:v>平衡级别</x:v>
      </x:c>
      <x:c r="F4" s="12" t="str">
        <x:v>当前生命 hp</x:v>
      </x:c>
      <x:c r="G4" s="12" t="str">
        <x:v>生命上限 max_hp</x:v>
      </x:c>
      <x:c r="H4" s="12" t="str">
        <x:v>攻击力 attack</x:v>
      </x:c>
      <x:c r="I4" s="12" t="str">
        <x:v>防御力 defense</x:v>
      </x:c>
      <x:c r="J4" s="12" t="str">
        <x:v>法术强度 magic_power</x:v>
      </x:c>
      <x:c r="K4" s="12" t="str">
        <x:v>魔法抗性 magic_resist</x:v>
      </x:c>
      <x:c r="L4" s="12" t="str">
        <x:v>攻击速度 attack_speed</x:v>
      </x:c>
      <x:c r="M4" s="12" t="str">
        <x:v>技能急速 skill_haste</x:v>
      </x:c>
      <x:c r="N4" s="12" t="str">
        <x:v>战斗经验 combat_xp</x:v>
      </x:c>
      <x:c r="O4" s="12" t="str">
        <x:v>和平倾向 peace</x:v>
      </x:c>
      <x:c r="P4" s="12" t="str">
        <x:v>力量观 power</x:v>
      </x:c>
      <x:c r="Q4" s="12" t="str">
        <x:v>自由倾向 freedom</x:v>
      </x:c>
      <x:c r="R4" s="12" t="str">
        <x:v>灵性亲和 spirit</x:v>
      </x:c>
      <x:c r="S4" s="12" t="str">
        <x:v>命运态度 destiny</x:v>
      </x:c>
      <x:c r="T4" s="12" t="str">
        <x:v>守护命运 guardian</x:v>
      </x:c>
      <x:c r="U4" s="12" t="str">
        <x:v>强者命运 strong</x:v>
      </x:c>
      <x:c r="V4" s="12" t="str">
        <x:v>流浪命运 wanderer</x:v>
      </x:c>
      <x:c r="W4" s="12" t="str">
        <x:v>灵界命运 spirit_fate</x:v>
      </x:c>
      <x:c r="X4" s="12" t="str">
        <x:v>破局命运 breaker</x:v>
      </x:c>
      <x:c r="Y4" s="12" t="str">
        <x:v>换算依据</x:v>
      </x:c>
      <x:c r="Z4" s="12" t="str">
        <x:v>审核状态</x:v>
      </x:c>
    </x:row>
    <x:row r="5" ht="54" customHeight="1">
      <x:c r="A5" s="23" t="str">
        <x:v>ahri</x:v>
      </x:c>
      <x:c r="B5" s="23" t="str">
        <x:v>阿狸</x:v>
      </x:c>
      <x:c r="C5" s="23" t="str">
        <x:v>九尾妖狐</x:v>
      </x:c>
      <x:c r="D5" s="23" t="str">
        <x:v>法术游击</x:v>
      </x:c>
      <x:c r="E5" s="23" t="str">
        <x:v>英雄</x:v>
      </x:c>
      <x:c r="F5" s="38" t="n">
        <x:f>G5</x:f>
        <x:v>145</x:v>
      </x:c>
      <x:c r="G5" s="38" t="n">
        <x:v>145</x:v>
      </x:c>
      <x:c r="H5" s="38" t="n">
        <x:v>22</x:v>
      </x:c>
      <x:c r="I5" s="38" t="n">
        <x:v>16</x:v>
      </x:c>
      <x:c r="J5" s="38" t="n">
        <x:v>31</x:v>
      </x:c>
      <x:c r="K5" s="38" t="n">
        <x:v>25</x:v>
      </x:c>
      <x:c r="L5" s="38" t="n">
        <x:v>24</x:v>
      </x:c>
      <x:c r="M5" s="38" t="n">
        <x:v>20</x:v>
      </x:c>
      <x:c r="N5" s="38" t="n">
        <x:v>90</x:v>
      </x:c>
      <x:c r="O5" s="39" t="n">
        <x:v>55</x:v>
      </x:c>
      <x:c r="P5" s="39" t="n">
        <x:v>35</x:v>
      </x:c>
      <x:c r="Q5" s="39" t="n">
        <x:v>82</x:v>
      </x:c>
      <x:c r="R5" s="39" t="n">
        <x:v>78</x:v>
      </x:c>
      <x:c r="S5" s="39" t="n">
        <x:v>64</x:v>
      </x:c>
      <x:c r="T5" s="40" t="n">
        <x:f>10+O5</x:f>
        <x:v>65</x:v>
      </x:c>
      <x:c r="U5" s="40" t="n">
        <x:f>10+P5</x:f>
        <x:v>45</x:v>
      </x:c>
      <x:c r="V5" s="40" t="n">
        <x:f>10+Q5</x:f>
        <x:v>92</x:v>
      </x:c>
      <x:c r="W5" s="40" t="n">
        <x:f>10+R5</x:f>
        <x:v>88</x:v>
      </x:c>
      <x:c r="X5" s="40" t="n">
        <x:f>10+S5</x:f>
        <x:v>74</x:v>
      </x:c>
      <x:c r="Y5" s="35" t="str">
        <x:v>精神魔法、记忆感知与高机动，生存依赖控制距离</x:v>
      </x:c>
      <x:c r="Z5" s="35" t="str">
        <x:v>待平衡测试</x:v>
      </x:c>
    </x:row>
    <x:row r="6" ht="54" customHeight="1">
      <x:c r="A6" s="24" t="str">
        <x:v>akali</x:v>
      </x:c>
      <x:c r="B6" s="24" t="str">
        <x:v>阿卡丽</x:v>
      </x:c>
      <x:c r="C6" s="24" t="str">
        <x:v>离群之刺</x:v>
      </x:c>
      <x:c r="D6" s="24" t="str">
        <x:v>刺客</x:v>
      </x:c>
      <x:c r="E6" s="24" t="str">
        <x:v>精英</x:v>
      </x:c>
      <x:c r="F6" s="41" t="n">
        <x:f>G6</x:f>
        <x:v>135</x:v>
      </x:c>
      <x:c r="G6" s="41" t="n">
        <x:v>135</x:v>
      </x:c>
      <x:c r="H6" s="41" t="n">
        <x:v>28</x:v>
      </x:c>
      <x:c r="I6" s="41" t="n">
        <x:v>17</x:v>
      </x:c>
      <x:c r="J6" s="41" t="n">
        <x:v>18</x:v>
      </x:c>
      <x:c r="K6" s="41" t="n">
        <x:v>20</x:v>
      </x:c>
      <x:c r="L6" s="41" t="n">
        <x:v>31</x:v>
      </x:c>
      <x:c r="M6" s="41" t="n">
        <x:v>18</x:v>
      </x:c>
      <x:c r="N6" s="41" t="n">
        <x:v>88</x:v>
      </x:c>
      <x:c r="O6" s="42" t="n">
        <x:v>42</x:v>
      </x:c>
      <x:c r="P6" s="42" t="n">
        <x:v>48</x:v>
      </x:c>
      <x:c r="Q6" s="42" t="n">
        <x:v>92</x:v>
      </x:c>
      <x:c r="R6" s="42" t="n">
        <x:v>55</x:v>
      </x:c>
      <x:c r="S6" s="42" t="n">
        <x:v>78</x:v>
      </x:c>
      <x:c r="T6" s="43" t="n">
        <x:f>10+O6</x:f>
        <x:v>52</x:v>
      </x:c>
      <x:c r="U6" s="43" t="n">
        <x:f>10+P6</x:f>
        <x:v>58</x:v>
      </x:c>
      <x:c r="V6" s="43" t="n">
        <x:f>10+Q6</x:f>
        <x:v>102</x:v>
      </x:c>
      <x:c r="W6" s="43" t="n">
        <x:f>10+R6</x:f>
        <x:v>65</x:v>
      </x:c>
      <x:c r="X6" s="43" t="n">
        <x:f>10+S6</x:f>
        <x:v>88</x:v>
      </x:c>
      <x:c r="Y6" s="36" t="str">
        <x:v>高速近战与烟雾突袭，防御低于正面战士</x:v>
      </x:c>
      <x:c r="Z6" s="36" t="str">
        <x:v>待平衡测试</x:v>
      </x:c>
    </x:row>
    <x:row r="7" ht="54" customHeight="1">
      <x:c r="A7" s="24" t="str">
        <x:v>hwei</x:v>
      </x:c>
      <x:c r="B7" s="24" t="str">
        <x:v>惠</x:v>
      </x:c>
      <x:c r="C7" s="24" t="str">
        <x:v>异画师</x:v>
      </x:c>
      <x:c r="D7" s="24" t="str">
        <x:v>法术控制</x:v>
      </x:c>
      <x:c r="E7" s="24" t="str">
        <x:v>精英</x:v>
      </x:c>
      <x:c r="F7" s="41" t="n">
        <x:f>G7</x:f>
        <x:v>125</x:v>
      </x:c>
      <x:c r="G7" s="41" t="n">
        <x:v>125</x:v>
      </x:c>
      <x:c r="H7" s="41" t="n">
        <x:v>12</x:v>
      </x:c>
      <x:c r="I7" s="41" t="n">
        <x:v>12</x:v>
      </x:c>
      <x:c r="J7" s="41" t="n">
        <x:v>36</x:v>
      </x:c>
      <x:c r="K7" s="41" t="n">
        <x:v>25</x:v>
      </x:c>
      <x:c r="L7" s="41" t="n">
        <x:v>14</x:v>
      </x:c>
      <x:c r="M7" s="41" t="n">
        <x:v>25</x:v>
      </x:c>
      <x:c r="N7" s="41" t="n">
        <x:v>70</x:v>
      </x:c>
      <x:c r="O7" s="42" t="n">
        <x:v>58</x:v>
      </x:c>
      <x:c r="P7" s="42" t="n">
        <x:v>28</x:v>
      </x:c>
      <x:c r="Q7" s="42" t="n">
        <x:v>70</x:v>
      </x:c>
      <x:c r="R7" s="42" t="n">
        <x:v>88</x:v>
      </x:c>
      <x:c r="S7" s="42" t="n">
        <x:v>61</x:v>
      </x:c>
      <x:c r="T7" s="43" t="n">
        <x:f>10+O7</x:f>
        <x:v>68</x:v>
      </x:c>
      <x:c r="U7" s="43" t="n">
        <x:f>10+P7</x:f>
        <x:v>38</x:v>
      </x:c>
      <x:c r="V7" s="43" t="n">
        <x:f>10+Q7</x:f>
        <x:v>80</x:v>
      </x:c>
      <x:c r="W7" s="43" t="n">
        <x:f>10+R7</x:f>
        <x:v>98</x:v>
      </x:c>
      <x:c r="X7" s="43" t="n">
        <x:f>10+S7</x:f>
        <x:v>71</x:v>
      </x:c>
      <x:c r="Y7" s="36" t="str">
        <x:v>绘画魔法上限极高，身体与近战能力较弱</x:v>
      </x:c>
      <x:c r="Z7" s="36" t="str">
        <x:v>待平衡测试</x:v>
      </x:c>
    </x:row>
    <x:row r="8" ht="54" customHeight="1">
      <x:c r="A8" s="24" t="str">
        <x:v>irelia</x:v>
      </x:c>
      <x:c r="B8" s="24" t="str">
        <x:v>艾瑞莉娅</x:v>
      </x:c>
      <x:c r="C8" s="24" t="str">
        <x:v>刀锋舞者</x:v>
      </x:c>
      <x:c r="D8" s="24" t="str">
        <x:v>近战领袖</x:v>
      </x:c>
      <x:c r="E8" s="24" t="str">
        <x:v>英雄</x:v>
      </x:c>
      <x:c r="F8" s="41" t="n">
        <x:f>G8</x:f>
        <x:v>155</x:v>
      </x:c>
      <x:c r="G8" s="41" t="n">
        <x:v>155</x:v>
      </x:c>
      <x:c r="H8" s="41" t="n">
        <x:v>30</x:v>
      </x:c>
      <x:c r="I8" s="41" t="n">
        <x:v>22</x:v>
      </x:c>
      <x:c r="J8" s="41" t="n">
        <x:v>15</x:v>
      </x:c>
      <x:c r="K8" s="41" t="n">
        <x:v>20</x:v>
      </x:c>
      <x:c r="L8" s="41" t="n">
        <x:v>29</x:v>
      </x:c>
      <x:c r="M8" s="41" t="n">
        <x:v>18</x:v>
      </x:c>
      <x:c r="N8" s="41" t="n">
        <x:v>95</x:v>
      </x:c>
      <x:c r="O8" s="42" t="n">
        <x:v>48</x:v>
      </x:c>
      <x:c r="P8" s="42" t="n">
        <x:v>57</x:v>
      </x:c>
      <x:c r="Q8" s="42" t="n">
        <x:v>42</x:v>
      </x:c>
      <x:c r="R8" s="42" t="n">
        <x:v>67</x:v>
      </x:c>
      <x:c r="S8" s="42" t="n">
        <x:v>72</x:v>
      </x:c>
      <x:c r="T8" s="43" t="n">
        <x:f>10+O8</x:f>
        <x:v>58</x:v>
      </x:c>
      <x:c r="U8" s="43" t="n">
        <x:f>10+P8</x:f>
        <x:v>67</x:v>
      </x:c>
      <x:c r="V8" s="43" t="n">
        <x:f>10+Q8</x:f>
        <x:v>52</x:v>
      </x:c>
      <x:c r="W8" s="43" t="n">
        <x:f>10+R8</x:f>
        <x:v>77</x:v>
      </x:c>
      <x:c r="X8" s="43" t="n">
        <x:f>10+S8</x:f>
        <x:v>82</x:v>
      </x:c>
      <x:c r="Y8" s="36" t="str">
        <x:v>战舞、刀刃控制与长期战争经验形成均衡高战力</x:v>
      </x:c>
      <x:c r="Z8" s="36" t="str">
        <x:v>待平衡测试</x:v>
      </x:c>
    </x:row>
    <x:row r="9" ht="54" customHeight="1">
      <x:c r="A9" s="24" t="str">
        <x:v>ivern</x:v>
      </x:c>
      <x:c r="B9" s="24" t="str">
        <x:v>艾翁</x:v>
      </x:c>
      <x:c r="C9" s="24" t="str">
        <x:v>翠神</x:v>
      </x:c>
      <x:c r="D9" s="24" t="str">
        <x:v>自然守护</x:v>
      </x:c>
      <x:c r="E9" s="24" t="str">
        <x:v>传说</x:v>
      </x:c>
      <x:c r="F9" s="41" t="n">
        <x:f>G9</x:f>
        <x:v>170</x:v>
      </x:c>
      <x:c r="G9" s="41" t="n">
        <x:v>170</x:v>
      </x:c>
      <x:c r="H9" s="41" t="n">
        <x:v>10</x:v>
      </x:c>
      <x:c r="I9" s="41" t="n">
        <x:v>24</x:v>
      </x:c>
      <x:c r="J9" s="41" t="n">
        <x:v>34</x:v>
      </x:c>
      <x:c r="K9" s="41" t="n">
        <x:v>32</x:v>
      </x:c>
      <x:c r="L9" s="41" t="n">
        <x:v>12</x:v>
      </x:c>
      <x:c r="M9" s="41" t="n">
        <x:v>28</x:v>
      </x:c>
      <x:c r="N9" s="41" t="n">
        <x:v>100</x:v>
      </x:c>
      <x:c r="O9" s="42" t="n">
        <x:v>94</x:v>
      </x:c>
      <x:c r="P9" s="42" t="n">
        <x:v>12</x:v>
      </x:c>
      <x:c r="Q9" s="42" t="n">
        <x:v>88</x:v>
      </x:c>
      <x:c r="R9" s="42" t="n">
        <x:v>100</x:v>
      </x:c>
      <x:c r="S9" s="42" t="n">
        <x:v>82</x:v>
      </x:c>
      <x:c r="T9" s="43" t="n">
        <x:f>10+O9</x:f>
        <x:v>104</x:v>
      </x:c>
      <x:c r="U9" s="43" t="n">
        <x:f>10+P9</x:f>
        <x:v>22</x:v>
      </x:c>
      <x:c r="V9" s="43" t="n">
        <x:f>10+Q9</x:f>
        <x:v>98</x:v>
      </x:c>
      <x:c r="W9" s="43" t="n">
        <x:f>10+R9</x:f>
        <x:v>110</x:v>
      </x:c>
      <x:c r="X9" s="43" t="n">
        <x:f>10+S9</x:f>
        <x:v>92</x:v>
      </x:c>
      <x:c r="Y9" s="36" t="str">
        <x:v>直接攻击较低，以生命魔法、护持和自然控制取胜</x:v>
      </x:c>
      <x:c r="Z9" s="36" t="str">
        <x:v>待平衡测试</x:v>
      </x:c>
    </x:row>
    <x:row r="10" ht="54" customHeight="1">
      <x:c r="A10" s="24" t="str">
        <x:v>jhin</x:v>
      </x:c>
      <x:c r="B10" s="24" t="str">
        <x:v>烬</x:v>
      </x:c>
      <x:c r="C10" s="24" t="str">
        <x:v>戏命师</x:v>
      </x:c>
      <x:c r="D10" s="24" t="str">
        <x:v>远程策划</x:v>
      </x:c>
      <x:c r="E10" s="24" t="str">
        <x:v>传说</x:v>
      </x:c>
      <x:c r="F10" s="41" t="n">
        <x:f>G10</x:f>
        <x:v>125</x:v>
      </x:c>
      <x:c r="G10" s="41" t="n">
        <x:v>125</x:v>
      </x:c>
      <x:c r="H10" s="41" t="n">
        <x:v>32</x:v>
      </x:c>
      <x:c r="I10" s="41" t="n">
        <x:v>12</x:v>
      </x:c>
      <x:c r="J10" s="41" t="n">
        <x:v>22</x:v>
      </x:c>
      <x:c r="K10" s="41" t="n">
        <x:v>18</x:v>
      </x:c>
      <x:c r="L10" s="41" t="n">
        <x:v>18</x:v>
      </x:c>
      <x:c r="M10" s="41" t="n">
        <x:v>25</x:v>
      </x:c>
      <x:c r="N10" s="41" t="n">
        <x:v>100</x:v>
      </x:c>
      <x:c r="O10" s="42" t="n">
        <x:v>5</x:v>
      </x:c>
      <x:c r="P10" s="42" t="n">
        <x:v>92</x:v>
      </x:c>
      <x:c r="Q10" s="42" t="n">
        <x:v>48</x:v>
      </x:c>
      <x:c r="R10" s="42" t="n">
        <x:v>24</x:v>
      </x:c>
      <x:c r="S10" s="42" t="n">
        <x:v>88</x:v>
      </x:c>
      <x:c r="T10" s="43" t="n">
        <x:f>10+O10</x:f>
        <x:v>15</x:v>
      </x:c>
      <x:c r="U10" s="43" t="n">
        <x:f>10+P10</x:f>
        <x:v>102</x:v>
      </x:c>
      <x:c r="V10" s="43" t="n">
        <x:f>10+Q10</x:f>
        <x:v>58</x:v>
      </x:c>
      <x:c r="W10" s="43" t="n">
        <x:f>10+R10</x:f>
        <x:v>34</x:v>
      </x:c>
      <x:c r="X10" s="43" t="n">
        <x:f>10+S10</x:f>
        <x:v>98</x:v>
      </x:c>
      <x:c r="Y10" s="36" t="str">
        <x:v>单次攻击与机关伤害高，正面承伤能力较弱</x:v>
      </x:c>
      <x:c r="Z10" s="36" t="str">
        <x:v>待平衡测试</x:v>
      </x:c>
    </x:row>
    <x:row r="11" ht="54" customHeight="1">
      <x:c r="A11" s="24" t="str">
        <x:v>karma</x:v>
      </x:c>
      <x:c r="B11" s="24" t="str">
        <x:v>卡尔玛</x:v>
      </x:c>
      <x:c r="C11" s="24" t="str">
        <x:v>天启者</x:v>
      </x:c>
      <x:c r="D11" s="24" t="str">
        <x:v>灵能领袖</x:v>
      </x:c>
      <x:c r="E11" s="24" t="str">
        <x:v>传说</x:v>
      </x:c>
      <x:c r="F11" s="41" t="n">
        <x:f>G11</x:f>
        <x:v>150</x:v>
      </x:c>
      <x:c r="G11" s="41" t="n">
        <x:v>150</x:v>
      </x:c>
      <x:c r="H11" s="41" t="n">
        <x:v>14</x:v>
      </x:c>
      <x:c r="I11" s="41" t="n">
        <x:v>20</x:v>
      </x:c>
      <x:c r="J11" s="41" t="n">
        <x:v>38</x:v>
      </x:c>
      <x:c r="K11" s="41" t="n">
        <x:v>34</x:v>
      </x:c>
      <x:c r="L11" s="41" t="n">
        <x:v>16</x:v>
      </x:c>
      <x:c r="M11" s="41" t="n">
        <x:v>30</x:v>
      </x:c>
      <x:c r="N11" s="41" t="n">
        <x:v>100</x:v>
      </x:c>
      <x:c r="O11" s="42" t="n">
        <x:v>78</x:v>
      </x:c>
      <x:c r="P11" s="42" t="n">
        <x:v>46</x:v>
      </x:c>
      <x:c r="Q11" s="42" t="n">
        <x:v>40</x:v>
      </x:c>
      <x:c r="R11" s="42" t="n">
        <x:v>100</x:v>
      </x:c>
      <x:c r="S11" s="42" t="n">
        <x:v>91</x:v>
      </x:c>
      <x:c r="T11" s="43" t="n">
        <x:f>10+O11</x:f>
        <x:v>88</x:v>
      </x:c>
      <x:c r="U11" s="43" t="n">
        <x:f>10+P11</x:f>
        <x:v>56</x:v>
      </x:c>
      <x:c r="V11" s="43" t="n">
        <x:f>10+Q11</x:f>
        <x:v>50</x:v>
      </x:c>
      <x:c r="W11" s="43" t="n">
        <x:f>10+R11</x:f>
        <x:v>110</x:v>
      </x:c>
      <x:c r="X11" s="43" t="n">
        <x:f>10+S11</x:f>
        <x:v>101</x:v>
      </x:c>
      <x:c r="Y11" s="36" t="str">
        <x:v>精神能量、护盾、治愈和历代记忆带来顶级法术能力</x:v>
      </x:c>
      <x:c r="Z11" s="36" t="str">
        <x:v>待平衡测试</x:v>
      </x:c>
    </x:row>
    <x:row r="12" ht="54" customHeight="1">
      <x:c r="A12" s="24" t="str">
        <x:v>kayn</x:v>
      </x:c>
      <x:c r="B12" s="24" t="str">
        <x:v>凯隐</x:v>
      </x:c>
      <x:c r="C12" s="24" t="str">
        <x:v>影流之镰</x:v>
      </x:c>
      <x:c r="D12" s="24" t="str">
        <x:v>暗影刺客</x:v>
      </x:c>
      <x:c r="E12" s="24" t="str">
        <x:v>英雄</x:v>
      </x:c>
      <x:c r="F12" s="41" t="n">
        <x:f>G12</x:f>
        <x:v>155</x:v>
      </x:c>
      <x:c r="G12" s="41" t="n">
        <x:v>155</x:v>
      </x:c>
      <x:c r="H12" s="41" t="n">
        <x:v>34</x:v>
      </x:c>
      <x:c r="I12" s="41" t="n">
        <x:v>18</x:v>
      </x:c>
      <x:c r="J12" s="41" t="n">
        <x:v>27</x:v>
      </x:c>
      <x:c r="K12" s="41" t="n">
        <x:v>22</x:v>
      </x:c>
      <x:c r="L12" s="41" t="n">
        <x:v>30</x:v>
      </x:c>
      <x:c r="M12" s="41" t="n">
        <x:v>22</x:v>
      </x:c>
      <x:c r="N12" s="41" t="n">
        <x:v>95</x:v>
      </x:c>
      <x:c r="O12" s="42" t="n">
        <x:v>12</x:v>
      </x:c>
      <x:c r="P12" s="42" t="n">
        <x:v>96</x:v>
      </x:c>
      <x:c r="Q12" s="42" t="n">
        <x:v>70</x:v>
      </x:c>
      <x:c r="R12" s="42" t="n">
        <x:v>42</x:v>
      </x:c>
      <x:c r="S12" s="42" t="n">
        <x:v>86</x:v>
      </x:c>
      <x:c r="T12" s="43" t="n">
        <x:f>10+O12</x:f>
        <x:v>22</x:v>
      </x:c>
      <x:c r="U12" s="43" t="n">
        <x:f>10+P12</x:f>
        <x:v>106</x:v>
      </x:c>
      <x:c r="V12" s="43" t="n">
        <x:f>10+Q12</x:f>
        <x:v>80</x:v>
      </x:c>
      <x:c r="W12" s="43" t="n">
        <x:f>10+R12</x:f>
        <x:v>52</x:v>
      </x:c>
      <x:c r="X12" s="43" t="n">
        <x:f>10+S12</x:f>
        <x:v>96</x:v>
      </x:c>
      <x:c r="Y12" s="36" t="str">
        <x:v>影子魔法与暗裔武器兼具爆发和穿行能力</x:v>
      </x:c>
      <x:c r="Z12" s="36" t="str">
        <x:v>待平衡测试</x:v>
      </x:c>
    </x:row>
    <x:row r="13" ht="54" customHeight="1">
      <x:c r="A13" s="24" t="str">
        <x:v>kennen</x:v>
      </x:c>
      <x:c r="B13" s="24" t="str">
        <x:v>凯南</x:v>
      </x:c>
      <x:c r="C13" s="24" t="str">
        <x:v>狂暴之心</x:v>
      </x:c>
      <x:c r="D13" s="24" t="str">
        <x:v>雷电游击</x:v>
      </x:c>
      <x:c r="E13" s="24" t="str">
        <x:v>传说</x:v>
      </x:c>
      <x:c r="F13" s="41" t="n">
        <x:f>G13</x:f>
        <x:v>130</x:v>
      </x:c>
      <x:c r="G13" s="41" t="n">
        <x:v>130</x:v>
      </x:c>
      <x:c r="H13" s="41" t="n">
        <x:v>19</x:v>
      </x:c>
      <x:c r="I13" s="41" t="n">
        <x:v>16</x:v>
      </x:c>
      <x:c r="J13" s="41" t="n">
        <x:v>34</x:v>
      </x:c>
      <x:c r="K13" s="41" t="n">
        <x:v>25</x:v>
      </x:c>
      <x:c r="L13" s="41" t="n">
        <x:v>33</x:v>
      </x:c>
      <x:c r="M13" s="41" t="n">
        <x:v>24</x:v>
      </x:c>
      <x:c r="N13" s="41" t="n">
        <x:v>100</x:v>
      </x:c>
      <x:c r="O13" s="42" t="n">
        <x:v>74</x:v>
      </x:c>
      <x:c r="P13" s="42" t="n">
        <x:v>38</x:v>
      </x:c>
      <x:c r="Q13" s="42" t="n">
        <x:v>72</x:v>
      </x:c>
      <x:c r="R13" s="42" t="n">
        <x:v>93</x:v>
      </x:c>
      <x:c r="S13" s="42" t="n">
        <x:v>77</x:v>
      </x:c>
      <x:c r="T13" s="43" t="n">
        <x:f>10+O13</x:f>
        <x:v>84</x:v>
      </x:c>
      <x:c r="U13" s="43" t="n">
        <x:f>10+P13</x:f>
        <x:v>48</x:v>
      </x:c>
      <x:c r="V13" s="43" t="n">
        <x:f>10+Q13</x:f>
        <x:v>82</x:v>
      </x:c>
      <x:c r="W13" s="43" t="n">
        <x:f>10+R13</x:f>
        <x:v>103</x:v>
      </x:c>
      <x:c r="X13" s="43" t="n">
        <x:f>10+S13</x:f>
        <x:v>87</x:v>
      </x:c>
      <x:c r="Y13" s="36" t="str">
        <x:v>雷电法术与高速移动突出，依靠机动避免正面承伤</x:v>
      </x:c>
      <x:c r="Z13" s="36" t="str">
        <x:v>待平衡测试</x:v>
      </x:c>
    </x:row>
    <x:row r="14" ht="54" customHeight="1">
      <x:c r="A14" s="24" t="str">
        <x:v>lee_sin</x:v>
      </x:c>
      <x:c r="B14" s="24" t="str">
        <x:v>李青</x:v>
      </x:c>
      <x:c r="C14" s="24" t="str">
        <x:v>盲僧</x:v>
      </x:c>
      <x:c r="D14" s="24" t="str">
        <x:v>武僧战士</x:v>
      </x:c>
      <x:c r="E14" s="24" t="str">
        <x:v>传说</x:v>
      </x:c>
      <x:c r="F14" s="41" t="n">
        <x:f>G14</x:f>
        <x:v>165</x:v>
      </x:c>
      <x:c r="G14" s="41" t="n">
        <x:v>165</x:v>
      </x:c>
      <x:c r="H14" s="41" t="n">
        <x:v>31</x:v>
      </x:c>
      <x:c r="I14" s="41" t="n">
        <x:v>24</x:v>
      </x:c>
      <x:c r="J14" s="41" t="n">
        <x:v>18</x:v>
      </x:c>
      <x:c r="K14" s="41" t="n">
        <x:v>27</x:v>
      </x:c>
      <x:c r="L14" s="41" t="n">
        <x:v>28</x:v>
      </x:c>
      <x:c r="M14" s="41" t="n">
        <x:v>20</x:v>
      </x:c>
      <x:c r="N14" s="41" t="n">
        <x:v>100</x:v>
      </x:c>
      <x:c r="O14" s="42" t="n">
        <x:v>70</x:v>
      </x:c>
      <x:c r="P14" s="42" t="n">
        <x:v>34</x:v>
      </x:c>
      <x:c r="Q14" s="42" t="n">
        <x:v>46</x:v>
      </x:c>
      <x:c r="R14" s="42" t="n">
        <x:v>98</x:v>
      </x:c>
      <x:c r="S14" s="42" t="n">
        <x:v>85</x:v>
      </x:c>
      <x:c r="T14" s="43" t="n">
        <x:f>10+O14</x:f>
        <x:v>80</x:v>
      </x:c>
      <x:c r="U14" s="43" t="n">
        <x:f>10+P14</x:f>
        <x:v>44</x:v>
      </x:c>
      <x:c r="V14" s="43" t="n">
        <x:f>10+Q14</x:f>
        <x:v>56</x:v>
      </x:c>
      <x:c r="W14" s="43" t="n">
        <x:f>10+R14</x:f>
        <x:v>108</x:v>
      </x:c>
      <x:c r="X14" s="43" t="n">
        <x:f>10+S14</x:f>
        <x:v>95</x:v>
      </x:c>
      <x:c r="Y14" s="36" t="str">
        <x:v>龙之灵、气感和自律训练带来高近战与抗性</x:v>
      </x:c>
      <x:c r="Z14" s="36" t="str">
        <x:v>待平衡测试</x:v>
      </x:c>
    </x:row>
    <x:row r="15" ht="54" customHeight="1">
      <x:c r="A15" s="24" t="str">
        <x:v>lillia</x:v>
      </x:c>
      <x:c r="B15" s="24" t="str">
        <x:v>莉莉娅</x:v>
      </x:c>
      <x:c r="C15" s="24" t="str">
        <x:v>含羞蓓蕾</x:v>
      </x:c>
      <x:c r="D15" s="24" t="str">
        <x:v>梦境法师</x:v>
      </x:c>
      <x:c r="E15" s="24" t="str">
        <x:v>精英</x:v>
      </x:c>
      <x:c r="F15" s="41" t="n">
        <x:f>G15</x:f>
        <x:v>130</x:v>
      </x:c>
      <x:c r="G15" s="41" t="n">
        <x:v>130</x:v>
      </x:c>
      <x:c r="H15" s="41" t="n">
        <x:v>12</x:v>
      </x:c>
      <x:c r="I15" s="41" t="n">
        <x:v>14</x:v>
      </x:c>
      <x:c r="J15" s="41" t="n">
        <x:v>34</x:v>
      </x:c>
      <x:c r="K15" s="41" t="n">
        <x:v>30</x:v>
      </x:c>
      <x:c r="L15" s="41" t="n">
        <x:v>27</x:v>
      </x:c>
      <x:c r="M15" s="41" t="n">
        <x:v>26</x:v>
      </x:c>
      <x:c r="N15" s="41" t="n">
        <x:v>75</x:v>
      </x:c>
      <x:c r="O15" s="42" t="n">
        <x:v>92</x:v>
      </x:c>
      <x:c r="P15" s="42" t="n">
        <x:v>8</x:v>
      </x:c>
      <x:c r="Q15" s="42" t="n">
        <x:v>90</x:v>
      </x:c>
      <x:c r="R15" s="42" t="n">
        <x:v>100</x:v>
      </x:c>
      <x:c r="S15" s="42" t="n">
        <x:v>68</x:v>
      </x:c>
      <x:c r="T15" s="43" t="n">
        <x:f>10+O15</x:f>
        <x:v>102</x:v>
      </x:c>
      <x:c r="U15" s="43" t="n">
        <x:f>10+P15</x:f>
        <x:v>18</x:v>
      </x:c>
      <x:c r="V15" s="43" t="n">
        <x:f>10+Q15</x:f>
        <x:v>100</x:v>
      </x:c>
      <x:c r="W15" s="43" t="n">
        <x:f>10+R15</x:f>
        <x:v>110</x:v>
      </x:c>
      <x:c r="X15" s="43" t="n">
        <x:f>10+S15</x:f>
        <x:v>78</x:v>
      </x:c>
      <x:c r="Y15" s="36" t="str">
        <x:v>梦境与自然魔法强，倾向机动、催眠而非正面对抗</x:v>
      </x:c>
      <x:c r="Z15" s="36" t="str">
        <x:v>待平衡测试</x:v>
      </x:c>
    </x:row>
    <x:row r="16" ht="54" customHeight="1">
      <x:c r="A16" s="24" t="str">
        <x:v>master_yi</x:v>
      </x:c>
      <x:c r="B16" s="24" t="str">
        <x:v>易</x:v>
      </x:c>
      <x:c r="C16" s="24" t="str">
        <x:v>无极剑圣</x:v>
      </x:c>
      <x:c r="D16" s="24" t="str">
        <x:v>剑术宗师</x:v>
      </x:c>
      <x:c r="E16" s="24" t="str">
        <x:v>传说</x:v>
      </x:c>
      <x:c r="F16" s="41" t="n">
        <x:f>G16</x:f>
        <x:v>140</x:v>
      </x:c>
      <x:c r="G16" s="41" t="n">
        <x:v>140</x:v>
      </x:c>
      <x:c r="H16" s="41" t="n">
        <x:v>36</x:v>
      </x:c>
      <x:c r="I16" s="41" t="n">
        <x:v>17</x:v>
      </x:c>
      <x:c r="J16" s="41" t="n">
        <x:v>17</x:v>
      </x:c>
      <x:c r="K16" s="41" t="n">
        <x:v>24</x:v>
      </x:c>
      <x:c r="L16" s="41" t="n">
        <x:v>38</x:v>
      </x:c>
      <x:c r="M16" s="41" t="n">
        <x:v>22</x:v>
      </x:c>
      <x:c r="N16" s="41" t="n">
        <x:v>100</x:v>
      </x:c>
      <x:c r="O16" s="42" t="n">
        <x:v>62</x:v>
      </x:c>
      <x:c r="P16" s="42" t="n">
        <x:v>36</x:v>
      </x:c>
      <x:c r="Q16" s="42" t="n">
        <x:v>54</x:v>
      </x:c>
      <x:c r="R16" s="42" t="n">
        <x:v>86</x:v>
      </x:c>
      <x:c r="S16" s="42" t="n">
        <x:v>79</x:v>
      </x:c>
      <x:c r="T16" s="43" t="n">
        <x:f>10+O16</x:f>
        <x:v>72</x:v>
      </x:c>
      <x:c r="U16" s="43" t="n">
        <x:f>10+P16</x:f>
        <x:v>46</x:v>
      </x:c>
      <x:c r="V16" s="43" t="n">
        <x:f>10+Q16</x:f>
        <x:v>64</x:v>
      </x:c>
      <x:c r="W16" s="43" t="n">
        <x:f>10+R16</x:f>
        <x:v>96</x:v>
      </x:c>
      <x:c r="X16" s="43" t="n">
        <x:f>10+S16</x:f>
        <x:v>89</x:v>
      </x:c>
      <x:c r="Y16" s="36" t="str">
        <x:v>无极剑术拥有最高级别单体攻击和速度，容错较低</x:v>
      </x:c>
      <x:c r="Z16" s="36" t="str">
        <x:v>待平衡测试</x:v>
      </x:c>
    </x:row>
    <x:row r="17" ht="54" customHeight="1">
      <x:c r="A17" s="24" t="str">
        <x:v>rakan</x:v>
      </x:c>
      <x:c r="B17" s="24" t="str">
        <x:v>洛</x:v>
      </x:c>
      <x:c r="C17" s="24" t="str">
        <x:v>幻翎</x:v>
      </x:c>
      <x:c r="D17" s="24" t="str">
        <x:v>灵性辅助</x:v>
      </x:c>
      <x:c r="E17" s="24" t="str">
        <x:v>精英</x:v>
      </x:c>
      <x:c r="F17" s="41" t="n">
        <x:f>G17</x:f>
        <x:v>145</x:v>
      </x:c>
      <x:c r="G17" s="41" t="n">
        <x:v>145</x:v>
      </x:c>
      <x:c r="H17" s="41" t="n">
        <x:v>20</x:v>
      </x:c>
      <x:c r="I17" s="41" t="n">
        <x:v>19</x:v>
      </x:c>
      <x:c r="J17" s="41" t="n">
        <x:v>29</x:v>
      </x:c>
      <x:c r="K17" s="41" t="n">
        <x:v>26</x:v>
      </x:c>
      <x:c r="L17" s="41" t="n">
        <x:v>33</x:v>
      </x:c>
      <x:c r="M17" s="41" t="n">
        <x:v>25</x:v>
      </x:c>
      <x:c r="N17" s="41" t="n">
        <x:v>85</x:v>
      </x:c>
      <x:c r="O17" s="42" t="n">
        <x:v>58</x:v>
      </x:c>
      <x:c r="P17" s="42" t="n">
        <x:v>30</x:v>
      </x:c>
      <x:c r="Q17" s="42" t="n">
        <x:v>100</x:v>
      </x:c>
      <x:c r="R17" s="42" t="n">
        <x:v>88</x:v>
      </x:c>
      <x:c r="S17" s="42" t="n">
        <x:v>62</x:v>
      </x:c>
      <x:c r="T17" s="43" t="n">
        <x:f>10+O17</x:f>
        <x:v>68</x:v>
      </x:c>
      <x:c r="U17" s="43" t="n">
        <x:f>10+P17</x:f>
        <x:v>40</x:v>
      </x:c>
      <x:c r="V17" s="43" t="n">
        <x:f>10+Q17</x:f>
        <x:v>110</x:v>
      </x:c>
      <x:c r="W17" s="43" t="n">
        <x:f>10+R17</x:f>
        <x:v>98</x:v>
      </x:c>
      <x:c r="X17" s="43" t="n">
        <x:f>10+S17</x:f>
        <x:v>72</x:v>
      </x:c>
      <x:c r="Y17" s="36" t="str">
        <x:v>高速舞步、护盾和扰乱使其偏向支援与控制</x:v>
      </x:c>
      <x:c r="Z17" s="36" t="str">
        <x:v>待平衡测试</x:v>
      </x:c>
    </x:row>
    <x:row r="18" ht="54" customHeight="1">
      <x:c r="A18" s="24" t="str">
        <x:v>sett</x:v>
      </x:c>
      <x:c r="B18" s="24" t="str">
        <x:v>瑟提</x:v>
      </x:c>
      <x:c r="C18" s="24" t="str">
        <x:v>腕豪</x:v>
      </x:c>
      <x:c r="D18" s="24" t="str">
        <x:v>重装斗士</x:v>
      </x:c>
      <x:c r="E18" s="24" t="str">
        <x:v>英雄</x:v>
      </x:c>
      <x:c r="F18" s="41" t="n">
        <x:f>G18</x:f>
        <x:v>190</x:v>
      </x:c>
      <x:c r="G18" s="41" t="n">
        <x:v>190</x:v>
      </x:c>
      <x:c r="H18" s="41" t="n">
        <x:v>36</x:v>
      </x:c>
      <x:c r="I18" s="41" t="n">
        <x:v>29</x:v>
      </x:c>
      <x:c r="J18" s="41" t="n">
        <x:v>7</x:v>
      </x:c>
      <x:c r="K18" s="41" t="n">
        <x:v>18</x:v>
      </x:c>
      <x:c r="L18" s="41" t="n">
        <x:v>25</x:v>
      </x:c>
      <x:c r="M18" s="41" t="n">
        <x:v>14</x:v>
      </x:c>
      <x:c r="N18" s="41" t="n">
        <x:v>92</x:v>
      </x:c>
      <x:c r="O18" s="42" t="n">
        <x:v>22</x:v>
      </x:c>
      <x:c r="P18" s="42" t="n">
        <x:v>90</x:v>
      </x:c>
      <x:c r="Q18" s="42" t="n">
        <x:v>73</x:v>
      </x:c>
      <x:c r="R18" s="42" t="n">
        <x:v>18</x:v>
      </x:c>
      <x:c r="S18" s="42" t="n">
        <x:v>79</x:v>
      </x:c>
      <x:c r="T18" s="43" t="n">
        <x:f>10+O18</x:f>
        <x:v>32</x:v>
      </x:c>
      <x:c r="U18" s="43" t="n">
        <x:f>10+P18</x:f>
        <x:v>100</x:v>
      </x:c>
      <x:c r="V18" s="43" t="n">
        <x:f>10+Q18</x:f>
        <x:v>83</x:v>
      </x:c>
      <x:c r="W18" s="43" t="n">
        <x:f>10+R18</x:f>
        <x:v>28</x:v>
      </x:c>
      <x:c r="X18" s="43" t="n">
        <x:f>10+S18</x:f>
        <x:v>89</x:v>
      </x:c>
      <x:c r="Y18" s="36" t="str">
        <x:v>极强体魄、近身格斗与承伤反击，几乎不依赖法术</x:v>
      </x:c>
      <x:c r="Z18" s="36" t="str">
        <x:v>待平衡测试</x:v>
      </x:c>
    </x:row>
    <x:row r="19" ht="54" customHeight="1">
      <x:c r="A19" s="24" t="str">
        <x:v>shen</x:v>
      </x:c>
      <x:c r="B19" s="24" t="str">
        <x:v>慎</x:v>
      </x:c>
      <x:c r="C19" s="24" t="str">
        <x:v>暮光之眼</x:v>
      </x:c>
      <x:c r="D19" s="24" t="str">
        <x:v>守护战士</x:v>
      </x:c>
      <x:c r="E19" s="24" t="str">
        <x:v>传说</x:v>
      </x:c>
      <x:c r="F19" s="41" t="n">
        <x:f>G19</x:f>
        <x:v>175</x:v>
      </x:c>
      <x:c r="G19" s="41" t="n">
        <x:v>175</x:v>
      </x:c>
      <x:c r="H19" s="41" t="n">
        <x:v>26</x:v>
      </x:c>
      <x:c r="I19" s="41" t="n">
        <x:v>32</x:v>
      </x:c>
      <x:c r="J19" s="41" t="n">
        <x:v>18</x:v>
      </x:c>
      <x:c r="K19" s="41" t="n">
        <x:v>30</x:v>
      </x:c>
      <x:c r="L19" s="41" t="n">
        <x:v>24</x:v>
      </x:c>
      <x:c r="M19" s="41" t="n">
        <x:v>24</x:v>
      </x:c>
      <x:c r="N19" s="41" t="n">
        <x:v>100</x:v>
      </x:c>
      <x:c r="O19" s="42" t="n">
        <x:v>68</x:v>
      </x:c>
      <x:c r="P19" s="42" t="n">
        <x:v>40</x:v>
      </x:c>
      <x:c r="Q19" s="42" t="n">
        <x:v>26</x:v>
      </x:c>
      <x:c r="R19" s="42" t="n">
        <x:v>100</x:v>
      </x:c>
      <x:c r="S19" s="42" t="n">
        <x:v>74</x:v>
      </x:c>
      <x:c r="T19" s="43" t="n">
        <x:f>10+O19</x:f>
        <x:v>78</x:v>
      </x:c>
      <x:c r="U19" s="43" t="n">
        <x:f>10+P19</x:f>
        <x:v>50</x:v>
      </x:c>
      <x:c r="V19" s="43" t="n">
        <x:f>10+Q19</x:f>
        <x:v>36</x:v>
      </x:c>
      <x:c r="W19" s="43" t="n">
        <x:f>10+R19</x:f>
        <x:v>110</x:v>
      </x:c>
      <x:c r="X19" s="43" t="n">
        <x:f>10+S19</x:f>
        <x:v>84</x:v>
      </x:c>
      <x:c r="Y19" s="36" t="str">
        <x:v>灵刃、护盾与两界经验使防御和魔抗居高</x:v>
      </x:c>
      <x:c r="Z19" s="36" t="str">
        <x:v>待平衡测试</x:v>
      </x:c>
    </x:row>
    <x:row r="20" ht="54" customHeight="1">
      <x:c r="A20" s="24" t="str">
        <x:v>syndra</x:v>
      </x:c>
      <x:c r="B20" s="24" t="str">
        <x:v>辛德拉</x:v>
      </x:c>
      <x:c r="C20" s="24" t="str">
        <x:v>暗黑元首</x:v>
      </x:c>
      <x:c r="D20" s="24" t="str">
        <x:v>爆发法师</x:v>
      </x:c>
      <x:c r="E20" s="24" t="str">
        <x:v>精英</x:v>
      </x:c>
      <x:c r="F20" s="41" t="n">
        <x:f>G20</x:f>
        <x:v>135</x:v>
      </x:c>
      <x:c r="G20" s="41" t="n">
        <x:v>135</x:v>
      </x:c>
      <x:c r="H20" s="41" t="n">
        <x:v>12</x:v>
      </x:c>
      <x:c r="I20" s="41" t="n">
        <x:v>13</x:v>
      </x:c>
      <x:c r="J20" s="41" t="n">
        <x:v>42</x:v>
      </x:c>
      <x:c r="K20" s="41" t="n">
        <x:v>30</x:v>
      </x:c>
      <x:c r="L20" s="41" t="n">
        <x:v>16</x:v>
      </x:c>
      <x:c r="M20" s="41" t="n">
        <x:v>31</x:v>
      </x:c>
      <x:c r="N20" s="41" t="n">
        <x:v>88</x:v>
      </x:c>
      <x:c r="O20" s="42" t="n">
        <x:v>8</x:v>
      </x:c>
      <x:c r="P20" s="42" t="n">
        <x:v>97</x:v>
      </x:c>
      <x:c r="Q20" s="42" t="n">
        <x:v>100</x:v>
      </x:c>
      <x:c r="R20" s="42" t="n">
        <x:v>72</x:v>
      </x:c>
      <x:c r="S20" s="42" t="n">
        <x:v>91</x:v>
      </x:c>
      <x:c r="T20" s="43" t="n">
        <x:f>10+O20</x:f>
        <x:v>18</x:v>
      </x:c>
      <x:c r="U20" s="43" t="n">
        <x:f>10+P20</x:f>
        <x:v>107</x:v>
      </x:c>
      <x:c r="V20" s="43" t="n">
        <x:f>10+Q20</x:f>
        <x:v>110</x:v>
      </x:c>
      <x:c r="W20" s="43" t="n">
        <x:f>10+R20</x:f>
        <x:v>82</x:v>
      </x:c>
      <x:c r="X20" s="43" t="n">
        <x:f>10+S20</x:f>
        <x:v>101</x:v>
      </x:c>
      <x:c r="Y20" s="36" t="str">
        <x:v>念力与环境魔力达到极高法强，身体防御明显偏低</x:v>
      </x:c>
      <x:c r="Z20" s="36" t="str">
        <x:v>待平衡测试</x:v>
      </x:c>
    </x:row>
    <x:row r="21" ht="54" customHeight="1">
      <x:c r="A21" s="24" t="str">
        <x:v>varus</x:v>
      </x:c>
      <x:c r="B21" s="24" t="str">
        <x:v>韦鲁斯</x:v>
      </x:c>
      <x:c r="C21" s="24" t="str">
        <x:v>惩戒之箭</x:v>
      </x:c>
      <x:c r="D21" s="24" t="str">
        <x:v>暗裔射手</x:v>
      </x:c>
      <x:c r="E21" s="24" t="str">
        <x:v>传说</x:v>
      </x:c>
      <x:c r="F21" s="41" t="n">
        <x:f>G21</x:f>
        <x:v>160</x:v>
      </x:c>
      <x:c r="G21" s="41" t="n">
        <x:v>160</x:v>
      </x:c>
      <x:c r="H21" s="41" t="n">
        <x:v>34</x:v>
      </x:c>
      <x:c r="I21" s="41" t="n">
        <x:v>18</x:v>
      </x:c>
      <x:c r="J21" s="41" t="n">
        <x:v>32</x:v>
      </x:c>
      <x:c r="K21" s="41" t="n">
        <x:v>25</x:v>
      </x:c>
      <x:c r="L21" s="41" t="n">
        <x:v>25</x:v>
      </x:c>
      <x:c r="M21" s="41" t="n">
        <x:v>20</x:v>
      </x:c>
      <x:c r="N21" s="41" t="n">
        <x:v>100</x:v>
      </x:c>
      <x:c r="O21" s="42" t="n">
        <x:v>10</x:v>
      </x:c>
      <x:c r="P21" s="42" t="n">
        <x:v>88</x:v>
      </x:c>
      <x:c r="Q21" s="42" t="n">
        <x:v>44</x:v>
      </x:c>
      <x:c r="R21" s="42" t="n">
        <x:v>18</x:v>
      </x:c>
      <x:c r="S21" s="42" t="n">
        <x:v>94</x:v>
      </x:c>
      <x:c r="T21" s="43" t="n">
        <x:f>10+O21</x:f>
        <x:v>20</x:v>
      </x:c>
      <x:c r="U21" s="43" t="n">
        <x:f>10+P21</x:f>
        <x:v>98</x:v>
      </x:c>
      <x:c r="V21" s="43" t="n">
        <x:f>10+Q21</x:f>
        <x:v>54</x:v>
      </x:c>
      <x:c r="W21" s="43" t="n">
        <x:f>10+R21</x:f>
        <x:v>28</x:v>
      </x:c>
      <x:c r="X21" s="43" t="n">
        <x:f>10+S21</x:f>
        <x:v>104</x:v>
      </x:c>
      <x:c r="Y21" s="36" t="str">
        <x:v>超凡弓术与血魔法兼具物理、法术爆发</x:v>
      </x:c>
      <x:c r="Z21" s="36" t="str">
        <x:v>待平衡测试</x:v>
      </x:c>
    </x:row>
    <x:row r="22" ht="54" customHeight="1">
      <x:c r="A22" s="24" t="str">
        <x:v>wukong</x:v>
      </x:c>
      <x:c r="B22" s="24" t="str">
        <x:v>悟空</x:v>
      </x:c>
      <x:c r="C22" s="24" t="str">
        <x:v>齐天大圣</x:v>
      </x:c>
      <x:c r="D22" s="24" t="str">
        <x:v>机动战士</x:v>
      </x:c>
      <x:c r="E22" s="24" t="str">
        <x:v>精英</x:v>
      </x:c>
      <x:c r="F22" s="41" t="n">
        <x:f>G22</x:f>
        <x:v>165</x:v>
      </x:c>
      <x:c r="G22" s="41" t="n">
        <x:v>165</x:v>
      </x:c>
      <x:c r="H22" s="41" t="n">
        <x:v>31</x:v>
      </x:c>
      <x:c r="I22" s="41" t="n">
        <x:v>24</x:v>
      </x:c>
      <x:c r="J22" s="41" t="n">
        <x:v>16</x:v>
      </x:c>
      <x:c r="K22" s="41" t="n">
        <x:v>21</x:v>
      </x:c>
      <x:c r="L22" s="41" t="n">
        <x:v>31</x:v>
      </x:c>
      <x:c r="M22" s="41" t="n">
        <x:v>18</x:v>
      </x:c>
      <x:c r="N22" s="41" t="n">
        <x:v>82</x:v>
      </x:c>
      <x:c r="O22" s="42" t="n">
        <x:v>54</x:v>
      </x:c>
      <x:c r="P22" s="42" t="n">
        <x:v>42</x:v>
      </x:c>
      <x:c r="Q22" s="42" t="n">
        <x:v>92</x:v>
      </x:c>
      <x:c r="R22" s="42" t="n">
        <x:v>70</x:v>
      </x:c>
      <x:c r="S22" s="42" t="n">
        <x:v>56</x:v>
      </x:c>
      <x:c r="T22" s="43" t="n">
        <x:f>10+O22</x:f>
        <x:v>64</x:v>
      </x:c>
      <x:c r="U22" s="43" t="n">
        <x:f>10+P22</x:f>
        <x:v>52</x:v>
      </x:c>
      <x:c r="V22" s="43" t="n">
        <x:f>10+Q22</x:f>
        <x:v>102</x:v>
      </x:c>
      <x:c r="W22" s="43" t="n">
        <x:f>10+R22</x:f>
        <x:v>80</x:v>
      </x:c>
      <x:c r="X22" s="43" t="n">
        <x:f>10+S22</x:f>
        <x:v>66</x:v>
      </x:c>
      <x:c r="Y22" s="36" t="str">
        <x:v>瓦斯塔亚体魄、分身与长棍技艺适合近战周旋</x:v>
      </x:c>
      <x:c r="Z22" s="36" t="str">
        <x:v>待平衡测试</x:v>
      </x:c>
    </x:row>
    <x:row r="23" ht="54" customHeight="1">
      <x:c r="A23" s="24" t="str">
        <x:v>xayah</x:v>
      </x:c>
      <x:c r="B23" s="24" t="str">
        <x:v>霞</x:v>
      </x:c>
      <x:c r="C23" s="24" t="str">
        <x:v>逆羽</x:v>
      </x:c>
      <x:c r="D23" s="24" t="str">
        <x:v>羽刃射手</x:v>
      </x:c>
      <x:c r="E23" s="24" t="str">
        <x:v>精英</x:v>
      </x:c>
      <x:c r="F23" s="41" t="n">
        <x:f>G23</x:f>
        <x:v>145</x:v>
      </x:c>
      <x:c r="G23" s="41" t="n">
        <x:v>145</x:v>
      </x:c>
      <x:c r="H23" s="41" t="n">
        <x:v>30</x:v>
      </x:c>
      <x:c r="I23" s="41" t="n">
        <x:v>17</x:v>
      </x:c>
      <x:c r="J23" s="41" t="n">
        <x:v>20</x:v>
      </x:c>
      <x:c r="K23" s="41" t="n">
        <x:v>21</x:v>
      </x:c>
      <x:c r="L23" s="41" t="n">
        <x:v>34</x:v>
      </x:c>
      <x:c r="M23" s="41" t="n">
        <x:v>18</x:v>
      </x:c>
      <x:c r="N23" s="41" t="n">
        <x:v>88</x:v>
      </x:c>
      <x:c r="O23" s="42" t="n">
        <x:v>24</x:v>
      </x:c>
      <x:c r="P23" s="42" t="n">
        <x:v>62</x:v>
      </x:c>
      <x:c r="Q23" s="42" t="n">
        <x:v>78</x:v>
      </x:c>
      <x:c r="R23" s="42" t="n">
        <x:v>96</x:v>
      </x:c>
      <x:c r="S23" s="42" t="n">
        <x:v>83</x:v>
      </x:c>
      <x:c r="T23" s="43" t="n">
        <x:f>10+O23</x:f>
        <x:v>34</x:v>
      </x:c>
      <x:c r="U23" s="43" t="n">
        <x:f>10+P23</x:f>
        <x:v>72</x:v>
      </x:c>
      <x:c r="V23" s="43" t="n">
        <x:f>10+Q23</x:f>
        <x:v>88</x:v>
      </x:c>
      <x:c r="W23" s="43" t="n">
        <x:f>10+R23</x:f>
        <x:v>106</x:v>
      </x:c>
      <x:c r="X23" s="43" t="n">
        <x:f>10+S23</x:f>
        <x:v>93</x:v>
      </x:c>
      <x:c r="Y23" s="36" t="str">
        <x:v>羽刃陷阱和高机动输出强，正面防御有限</x:v>
      </x:c>
      <x:c r="Z23" s="36" t="str">
        <x:v>待平衡测试</x:v>
      </x:c>
    </x:row>
    <x:row r="24" ht="54" customHeight="1">
      <x:c r="A24" s="24" t="str">
        <x:v>yasuo</x:v>
      </x:c>
      <x:c r="B24" s="24" t="str">
        <x:v>亚索</x:v>
      </x:c>
      <x:c r="C24" s="24" t="str">
        <x:v>疾风剑豪</x:v>
      </x:c>
      <x:c r="D24" s="24" t="str">
        <x:v>御风剑客</x:v>
      </x:c>
      <x:c r="E24" s="24" t="str">
        <x:v>传说</x:v>
      </x:c>
      <x:c r="F24" s="41" t="n">
        <x:f>G24</x:f>
        <x:v>150</x:v>
      </x:c>
      <x:c r="G24" s="41" t="n">
        <x:v>150</x:v>
      </x:c>
      <x:c r="H24" s="41" t="n">
        <x:v>34</x:v>
      </x:c>
      <x:c r="I24" s="41" t="n">
        <x:v>20</x:v>
      </x:c>
      <x:c r="J24" s="41" t="n">
        <x:v>26</x:v>
      </x:c>
      <x:c r="K24" s="41" t="n">
        <x:v>23</x:v>
      </x:c>
      <x:c r="L24" s="41" t="n">
        <x:v>35</x:v>
      </x:c>
      <x:c r="M24" s="41" t="n">
        <x:v>22</x:v>
      </x:c>
      <x:c r="N24" s="41" t="n">
        <x:v>100</x:v>
      </x:c>
      <x:c r="O24" s="42" t="n">
        <x:v>46</x:v>
      </x:c>
      <x:c r="P24" s="42" t="n">
        <x:v>28</x:v>
      </x:c>
      <x:c r="Q24" s="42" t="n">
        <x:v>90</x:v>
      </x:c>
      <x:c r="R24" s="42" t="n">
        <x:v>58</x:v>
      </x:c>
      <x:c r="S24" s="42" t="n">
        <x:v>66</x:v>
      </x:c>
      <x:c r="T24" s="43" t="n">
        <x:f>10+O24</x:f>
        <x:v>56</x:v>
      </x:c>
      <x:c r="U24" s="43" t="n">
        <x:f>10+P24</x:f>
        <x:v>38</x:v>
      </x:c>
      <x:c r="V24" s="43" t="n">
        <x:f>10+Q24</x:f>
        <x:v>100</x:v>
      </x:c>
      <x:c r="W24" s="43" t="n">
        <x:f>10+R24</x:f>
        <x:v>68</x:v>
      </x:c>
      <x:c r="X24" s="43" t="n">
        <x:f>10+S24</x:f>
        <x:v>76</x:v>
      </x:c>
      <x:c r="Y24" s="36" t="str">
        <x:v>御风剑术兼具高攻击、速度和元素防护</x:v>
      </x:c>
      <x:c r="Z24" s="36" t="str">
        <x:v>待平衡测试</x:v>
      </x:c>
    </x:row>
    <x:row r="25" ht="54" customHeight="1">
      <x:c r="A25" s="24" t="str">
        <x:v>yone</x:v>
      </x:c>
      <x:c r="B25" s="24" t="str">
        <x:v>永恩</x:v>
      </x:c>
      <x:c r="C25" s="24" t="str">
        <x:v>封魔剑魂</x:v>
      </x:c>
      <x:c r="D25" s="24" t="str">
        <x:v>灵体剑士</x:v>
      </x:c>
      <x:c r="E25" s="24" t="str">
        <x:v>传说</x:v>
      </x:c>
      <x:c r="F25" s="41" t="n">
        <x:f>G25</x:f>
        <x:v>165</x:v>
      </x:c>
      <x:c r="G25" s="41" t="n">
        <x:v>165</x:v>
      </x:c>
      <x:c r="H25" s="41" t="n">
        <x:v>35</x:v>
      </x:c>
      <x:c r="I25" s="41" t="n">
        <x:v>23</x:v>
      </x:c>
      <x:c r="J25" s="41" t="n">
        <x:v>27</x:v>
      </x:c>
      <x:c r="K25" s="41" t="n">
        <x:v>27</x:v>
      </x:c>
      <x:c r="L25" s="41" t="n">
        <x:v>31</x:v>
      </x:c>
      <x:c r="M25" s="41" t="n">
        <x:v>24</x:v>
      </x:c>
      <x:c r="N25" s="41" t="n">
        <x:v>100</x:v>
      </x:c>
      <x:c r="O25" s="42" t="n">
        <x:v>58</x:v>
      </x:c>
      <x:c r="P25" s="42" t="n">
        <x:v>34</x:v>
      </x:c>
      <x:c r="Q25" s="42" t="n">
        <x:v>52</x:v>
      </x:c>
      <x:c r="R25" s="42" t="n">
        <x:v>91</x:v>
      </x:c>
      <x:c r="S25" s="42" t="n">
        <x:v>93</x:v>
      </x:c>
      <x:c r="T25" s="43" t="n">
        <x:f>10+O25</x:f>
        <x:v>68</x:v>
      </x:c>
      <x:c r="U25" s="43" t="n">
        <x:f>10+P25</x:f>
        <x:v>44</x:v>
      </x:c>
      <x:c r="V25" s="43" t="n">
        <x:f>10+Q25</x:f>
        <x:v>62</x:v>
      </x:c>
      <x:c r="W25" s="43" t="n">
        <x:f>10+R25</x:f>
        <x:v>101</x:v>
      </x:c>
      <x:c r="X25" s="43" t="n">
        <x:f>10+S25</x:f>
        <x:v>103</x:v>
      </x:c>
      <x:c r="Y25" s="36" t="str">
        <x:v>双剑、灵体出窍与猎魔经验形成高综合战力</x:v>
      </x:c>
      <x:c r="Z25" s="36" t="str">
        <x:v>待平衡测试</x:v>
      </x:c>
    </x:row>
    <x:row r="26" ht="54" customHeight="1">
      <x:c r="A26" s="25" t="str">
        <x:v>zed</x:v>
      </x:c>
      <x:c r="B26" s="25" t="str">
        <x:v>劫</x:v>
      </x:c>
      <x:c r="C26" s="25" t="str">
        <x:v>影流之主</x:v>
      </x:c>
      <x:c r="D26" s="25" t="str">
        <x:v>影流刺客</x:v>
      </x:c>
      <x:c r="E26" s="25" t="str">
        <x:v>传说</x:v>
      </x:c>
      <x:c r="F26" s="44" t="n">
        <x:f>G26</x:f>
        <x:v>155</x:v>
      </x:c>
      <x:c r="G26" s="44" t="n">
        <x:v>155</x:v>
      </x:c>
      <x:c r="H26" s="44" t="n">
        <x:v>35</x:v>
      </x:c>
      <x:c r="I26" s="44" t="n">
        <x:v>20</x:v>
      </x:c>
      <x:c r="J26" s="44" t="n">
        <x:v>29</x:v>
      </x:c>
      <x:c r="K26" s="44" t="n">
        <x:v>24</x:v>
      </x:c>
      <x:c r="L26" s="44" t="n">
        <x:v>34</x:v>
      </x:c>
      <x:c r="M26" s="44" t="n">
        <x:v>26</x:v>
      </x:c>
      <x:c r="N26" s="44" t="n">
        <x:v>100</x:v>
      </x:c>
      <x:c r="O26" s="45" t="n">
        <x:v>16</x:v>
      </x:c>
      <x:c r="P26" s="45" t="n">
        <x:v>91</x:v>
      </x:c>
      <x:c r="Q26" s="45" t="n">
        <x:v>58</x:v>
      </x:c>
      <x:c r="R26" s="45" t="n">
        <x:v>68</x:v>
      </x:c>
      <x:c r="S26" s="45" t="n">
        <x:v>87</x:v>
      </x:c>
      <x:c r="T26" s="46" t="n">
        <x:f>10+O26</x:f>
        <x:v>26</x:v>
      </x:c>
      <x:c r="U26" s="46" t="n">
        <x:f>10+P26</x:f>
        <x:v>101</x:v>
      </x:c>
      <x:c r="V26" s="46" t="n">
        <x:f>10+Q26</x:f>
        <x:v>68</x:v>
      </x:c>
      <x:c r="W26" s="46" t="n">
        <x:f>10+R26</x:f>
        <x:v>78</x:v>
      </x:c>
      <x:c r="X26" s="46" t="n">
        <x:f>10+S26</x:f>
        <x:v>97</x:v>
      </x:c>
      <x:c r="Y26" s="37" t="str">
        <x:v>影子分身、换位和刺杀术带来极高爆发与技能循环</x:v>
      </x:c>
      <x:c r="Z26" s="37" t="str">
        <x:v>待平衡测试</x:v>
      </x:c>
    </x:row>
  </x:sheetData>
  <x:mergeCells>
    <x:mergeCell ref="A1:H1"/>
    <x:mergeCell ref="A2:H2"/>
  </x:mergeCells>
  <x:conditionalFormatting sqref="Z5:Z26">
    <x:cfRule type="containsText" dxfId="0" priority="1" operator="containsText" text="待平衡测试"/>
    <x:cfRule type="containsText" dxfId="1" priority="2" operator="containsText" text="已平衡"/>
  </x:conditionalFormatting>
  <x:conditionalFormatting sqref="F5:N26">
    <x:cfRule type="colorScale" priority="3">
      <x:colorScale>
        <x:cfvo type="min"/>
        <x:cfvo type="percentile" val="50"/>
        <x:cfvo type="max"/>
        <x:color rgb="FFE8EFF4"/>
        <x:color rgb="FF9EC4D9"/>
        <x:color rgb="FF356B87"/>
      </x:colorScale>
    </x:cfRule>
  </x:conditionalFormatting>
  <x:conditionalFormatting sqref="O5:S26">
    <x:cfRule type="colorScale" priority="4">
      <x:colorScale>
        <x:cfvo type="min"/>
        <x:cfvo type="percentile" val="50"/>
        <x:cfvo type="max"/>
        <x:color rgb="FFF7EED6"/>
        <x:color rgb="FFD8B86C"/>
        <x:color rgb="FF8C6731"/>
      </x:colorScale>
    </x:cfRule>
  </x:conditionalFormatting>
  <x:conditionalFormatting sqref="T5:X26">
    <x:cfRule type="colorScale" priority="5">
      <x:colorScale>
        <x:cfvo type="min"/>
        <x:cfvo type="percentile" val="50"/>
        <x:cfvo type="max"/>
        <x:color rgb="FFEEE8F5"/>
        <x:color rgb="FFB8A2D2"/>
        <x:color rgb="FF675080"/>
      </x:colorScale>
    </x:cfRule>
  </x:conditionalFormatting>
  <x:dataValidations count="6">
    <x:dataValidation type="whole" operator="between" sqref="O5:O26">
      <x:formula1>0</x:formula1>
      <x:formula2>100</x:formula2>
    </x:dataValidation>
    <x:dataValidation type="whole" operator="between" sqref="P5:P26">
      <x:formula1>0</x:formula1>
      <x:formula2>100</x:formula2>
    </x:dataValidation>
    <x:dataValidation type="whole" operator="between" sqref="Q5:Q26">
      <x:formula1>0</x:formula1>
      <x:formula2>100</x:formula2>
    </x:dataValidation>
    <x:dataValidation type="whole" operator="between" sqref="R5:R26">
      <x:formula1>0</x:formula1>
      <x:formula2>100</x:formula2>
    </x:dataValidation>
    <x:dataValidation type="whole" operator="between" sqref="S5:S26">
      <x:formula1>0</x:formula1>
      <x:formula2>100</x:formula2>
    </x:dataValidation>
    <x:dataValidation type="list" sqref="Z5:Z26">
      <x:formula1>"待平衡测试,测试中,已平衡,锁定"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e5af6e375846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8" hidden="0" customWidth="1"/>
    <x:col min="5" max="5" width="24" hidden="0" customWidth="1"/>
    <x:col min="6" max="6" width="30" hidden="0" customWidth="1"/>
    <x:col min="7" max="7" width="22" hidden="0" customWidth="1"/>
    <x:col min="8" max="8" width="38" hidden="0" customWidth="1"/>
    <x:col min="9" max="9" width="11" hidden="0" customWidth="1"/>
    <x:col min="10" max="10" width="10" hidden="0" customWidth="1"/>
    <x:col min="11" max="11" width="16" hidden="0" customWidth="1"/>
    <x:col min="12" max="12" width="28" hidden="0" customWidth="1"/>
    <x:col min="13" max="13" width="30" hidden="0" customWidth="1"/>
    <x:col min="14" max="14" width="28" hidden="0" customWidth="1"/>
    <x:col min="15" max="15" width="28" hidden="0" customWidth="1"/>
    <x:col min="16" max="16" width="25" hidden="0" customWidth="1"/>
    <x:col min="17" max="17" width="30" hidden="0" customWidth="1"/>
    <x:col min="18" max="18" width="30" hidden="0" customWidth="1"/>
    <x:col min="19" max="19" width="32" hidden="0" customWidth="1"/>
    <x:col min="20" max="20" width="24" hidden="0" customWidth="1"/>
    <x:col min="21" max="21" width="25" hidden="0" customWidth="1"/>
    <x:col min="22" max="22" width="25" hidden="0" customWidth="1"/>
    <x:col min="23" max="23" width="18" hidden="0" customWidth="1"/>
    <x:col min="24" max="24" width="30" hidden="0" customWidth="1"/>
    <x:col min="25" max="25" width="28" hidden="0" customWidth="1"/>
    <x:col min="26" max="26" width="28" hidden="0" customWidth="1"/>
    <x:col min="27" max="27" width="26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8" hidden="0" customWidth="1"/>
    <x:col min="37" max="37" width="32" hidden="0" customWidth="1"/>
    <x:col min="38" max="38" width="34" hidden="0" customWidth="1"/>
    <x:col min="39" max="39" width="24" hidden="0" customWidth="1"/>
    <x:col min="40" max="40" width="12" hidden="0" customWidth="1"/>
  </x:cols>
  <x:sheetData>
    <x:row r="1" ht="32" customHeight="1">
      <x:c r="A1" s="3" t="str">
        <x:v>艾欧尼亚22英雄人格主表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 ht="34" customHeight="1">
      <x:c r="A2" s="7" t="str">
        <x:v>本表保存叙事人格与行为依据；游戏实际数值请以“游戏属性标准”工作表为准。前五项分数对应后端五维人格，其余三项仅供策划分析。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</x:row>
    <x:row r="4" ht="42" customHeight="1">
      <x:c r="A4" s="12" t="str">
        <x:v>英雄ID</x:v>
      </x:c>
      <x:c r="B4" s="12" t="str">
        <x:v>英雄名</x:v>
      </x:c>
      <x:c r="C4" s="12" t="str">
        <x:v>称号</x:v>
      </x:c>
      <x:c r="D4" s="12" t="str">
        <x:v>物种</x:v>
      </x:c>
      <x:c r="E4" s="12" t="str">
        <x:v>出身/活动地</x:v>
      </x:c>
      <x:c r="F4" s="12" t="str">
        <x:v>当前状态</x:v>
      </x:c>
      <x:c r="G4" s="12" t="str">
        <x:v>所属组织</x:v>
      </x:c>
      <x:c r="H4" s="12" t="str">
        <x:v>官方来源URL</x:v>
      </x:c>
      <x:c r="I4" s="12" t="str">
        <x:v>审核状态</x:v>
      </x:c>
      <x:c r="J4" s="12" t="str">
        <x:v>人格版本</x:v>
      </x:c>
      <x:c r="K4" s="12" t="str">
        <x:v>核心原型</x:v>
      </x:c>
      <x:c r="L4" s="12" t="str">
        <x:v>公开面貌</x:v>
      </x:c>
      <x:c r="M4" s="12" t="str">
        <x:v>私下真实</x:v>
      </x:c>
      <x:c r="N4" s="12" t="str">
        <x:v>核心欲望</x:v>
      </x:c>
      <x:c r="O4" s="12" t="str">
        <x:v>核心恐惧</x:v>
      </x:c>
      <x:c r="P4" s="12" t="str">
        <x:v>价值优先级</x:v>
      </x:c>
      <x:c r="Q4" s="12" t="str">
        <x:v>道德底线</x:v>
      </x:c>
      <x:c r="R4" s="12" t="str">
        <x:v>关键创伤</x:v>
      </x:c>
      <x:c r="S4" s="12" t="str">
        <x:v>核心矛盾</x:v>
      </x:c>
      <x:c r="T4" s="12" t="str">
        <x:v>防御机制</x:v>
      </x:c>
      <x:c r="U4" s="12" t="str">
        <x:v>决策方式</x:v>
      </x:c>
      <x:c r="V4" s="12" t="str">
        <x:v>冲突方式</x:v>
      </x:c>
      <x:c r="W4" s="12" t="str">
        <x:v>社交距离</x:v>
      </x:c>
      <x:c r="X4" s="12" t="str">
        <x:v>信任条件</x:v>
      </x:c>
      <x:c r="Y4" s="12" t="str">
        <x:v>愤怒触发</x:v>
      </x:c>
      <x:c r="Z4" s="12" t="str">
        <x:v>柔软点</x:v>
      </x:c>
      <x:c r="AA4" s="12" t="str">
        <x:v>对玩家初始态度</x:v>
      </x:c>
      <x:c r="AB4" s="12" t="str">
        <x:v>和平倾向</x:v>
      </x:c>
      <x:c r="AC4" s="12" t="str">
        <x:v>权力倾向</x:v>
      </x:c>
      <x:c r="AD4" s="12" t="str">
        <x:v>自由倾向</x:v>
      </x:c>
      <x:c r="AE4" s="12" t="str">
        <x:v>灵性亲和</x:v>
      </x:c>
      <x:c r="AF4" s="12" t="str">
        <x:v>命运态度</x:v>
      </x:c>
      <x:c r="AG4" s="12" t="str">
        <x:v>共情能力</x:v>
      </x:c>
      <x:c r="AH4" s="12" t="str">
        <x:v>自律程度</x:v>
      </x:c>
      <x:c r="AI4" s="12" t="str">
        <x:v>风险偏好</x:v>
      </x:c>
      <x:c r="AJ4" s="12" t="str">
        <x:v>幽默方式</x:v>
      </x:c>
      <x:c r="AK4" s="12" t="str">
        <x:v>语言风格摘要</x:v>
      </x:c>
      <x:c r="AL4" s="12" t="str">
        <x:v>禁止偏离行为</x:v>
      </x:c>
      <x:c r="AM4" s="12" t="str">
        <x:v>编辑备注</x:v>
      </x:c>
      <x:c r="AN4" s="12" t="str">
        <x:v>资料完整度</x:v>
      </x:c>
    </x:row>
    <x:row r="5" ht="74" customHeight="1">
      <x:c r="A5" s="23" t="str">
        <x:v>ahri</x:v>
      </x:c>
      <x:c r="B5" s="23" t="str">
        <x:v>阿狸</x:v>
      </x:c>
      <x:c r="C5" s="23" t="str">
        <x:v>九尾妖狐</x:v>
      </x:c>
      <x:c r="D5" s="23" t="str">
        <x:v>瓦斯塔亚（狐形）</x:v>
      </x:c>
      <x:c r="E5" s="23" t="str">
        <x:v>艾欧尼亚荒野</x:v>
      </x:c>
      <x:c r="F5" s="23" t="str">
        <x:v>在外旅行并继续追寻过去</x:v>
      </x:c>
      <x:c r="G5" s="23" t="str"/>
      <x:c r="H5" s="23" t="str">
        <x:v>https://universe.leagueoflegends.com/en_US/champion/ahri/</x:v>
      </x:c>
      <x:c r="I5" s="23" t="str">
        <x:v>待复核</x:v>
      </x:c>
      <x:c r="J5" s="23" t="str">
        <x:v>1.0</x:v>
      </x:c>
      <x:c r="K5" s="29" t="str">
        <x:v>寻根者</x:v>
      </x:c>
      <x:c r="L5" s="29" t="str">
        <x:v>从容、迷人、善于读取情绪</x:v>
      </x:c>
      <x:c r="M5" s="29" t="str">
        <x:v>警惕自身捕食本能，也渴望真正归属</x:v>
      </x:c>
      <x:c r="N5" s="29" t="str">
        <x:v>理解自己的族群与过去</x:v>
      </x:c>
      <x:c r="O5" s="29" t="str">
        <x:v>失控伤害亲近者</x:v>
      </x:c>
      <x:c r="P5" s="29" t="str">
        <x:v>家园/自我/关系，按角色具体情境排序</x:v>
      </x:c>
      <x:c r="Q5" s="29" t="str">
        <x:v>不得写成单纯魅惑者或嗜血妖怪</x:v>
      </x:c>
      <x:c r="R5" s="29" t="str">
        <x:v>从无节制捕食到自我克制</x:v>
      </x:c>
      <x:c r="S5" s="29" t="str">
        <x:v>理解自己的族群与过去，但又恐惧失控伤害亲近者</x:v>
      </x:c>
      <x:c r="T5" s="29" t="str">
        <x:v>压力下强化其核心原型</x:v>
      </x:c>
      <x:c r="U5" s="29" t="str">
        <x:v>从容、迷人、善于读取情绪</x:v>
      </x:c>
      <x:c r="V5" s="29" t="str">
        <x:v>从容、迷人、善于读取情绪</x:v>
      </x:c>
      <x:c r="W5" s="29" t="str">
        <x:v>陌生人保持观察距离</x:v>
      </x:c>
      <x:c r="X5" s="29" t="str">
        <x:v>试探、观察后靠近</x:v>
      </x:c>
      <x:c r="Y5" s="29" t="str">
        <x:v>被当成怪物或工具</x:v>
      </x:c>
      <x:c r="Z5" s="29" t="str">
        <x:v>对孤独者与真实善意心软</x:v>
      </x:c>
      <x:c r="AA5" s="29" t="str">
        <x:v>中立观察；依据玩家行为动态变化</x:v>
      </x:c>
      <x:c r="AB5" s="29" t="n">
        <x:v>55</x:v>
      </x:c>
      <x:c r="AC5" s="29" t="n">
        <x:v>35</x:v>
      </x:c>
      <x:c r="AD5" s="29" t="n">
        <x:v>82</x:v>
      </x:c>
      <x:c r="AE5" s="29" t="n">
        <x:v>78</x:v>
      </x:c>
      <x:c r="AF5" s="29" t="n">
        <x:v>64</x:v>
      </x:c>
      <x:c r="AG5" s="29" t="n">
        <x:v>76</x:v>
      </x:c>
      <x:c r="AH5" s="29" t="n">
        <x:v>58</x:v>
      </x:c>
      <x:c r="AI5" s="29" t="n">
        <x:v>55</x:v>
      </x:c>
      <x:c r="AJ5" s="29" t="str">
        <x:v>见角色语境，不强制插科打诨</x:v>
      </x:c>
      <x:c r="AK5" s="29" t="str">
        <x:v>温柔、含蓄、带感官意象</x:v>
      </x:c>
      <x:c r="AL5" s="29" t="str">
        <x:v>不可写成单纯魅惑者或嗜血妖怪</x:v>
      </x:c>
      <x:c r="AM5" s="29" t="str"/>
      <x:c r="AN5" s="47" t="n">
        <x:f>COUNTA(K5:AM5)/29</x:f>
        <x:v>1</x:v>
      </x:c>
    </x:row>
    <x:row r="6" ht="74" customHeight="1">
      <x:c r="A6" s="24" t="str">
        <x:v>akali</x:v>
      </x:c>
      <x:c r="B6" s="24" t="str">
        <x:v>阿卡丽</x:v>
      </x:c>
      <x:c r="C6" s="24" t="str">
        <x:v>离群之刺</x:v>
      </x:c>
      <x:c r="D6" s="24" t="str">
        <x:v>人类</x:v>
      </x:c>
      <x:c r="E6" s="24" t="str">
        <x:v>均衡教派</x:v>
      </x:c>
      <x:c r="F6" s="24" t="str">
        <x:v>独立行动，必要时仍可能协助均衡教派</x:v>
      </x:c>
      <x:c r="G6" s="24" t="str">
        <x:v>kinkou</x:v>
      </x:c>
      <x:c r="H6" s="24" t="str">
        <x:v>https://universe.leagueoflegends.com/en_US/champion/akali/</x:v>
      </x:c>
      <x:c r="I6" s="24" t="str">
        <x:v>待复核</x:v>
      </x:c>
      <x:c r="J6" s="24" t="str">
        <x:v>1.0</x:v>
      </x:c>
      <x:c r="K6" s="30" t="str">
        <x:v>独行守护者</x:v>
      </x:c>
      <x:c r="L6" s="30" t="str">
        <x:v>直接、自信、行动先于辩论</x:v>
      </x:c>
      <x:c r="M6" s="30" t="str">
        <x:v>仍在意均衡旧友，却拒绝被规训</x:v>
      </x:c>
      <x:c r="N6" s="30" t="str">
        <x:v>以自己的方式保护艾欧尼亚</x:v>
      </x:c>
      <x:c r="O6" s="30" t="str">
        <x:v>自由被组织或长辈夺走</x:v>
      </x:c>
      <x:c r="P6" s="30" t="str">
        <x:v>家园/自我/关系，按角色具体情境排序</x:v>
      </x:c>
      <x:c r="Q6" s="30" t="str">
        <x:v>不得让她无条件服从慎或均衡教派</x:v>
      </x:c>
      <x:c r="R6" s="30" t="str">
        <x:v>均衡教派弟子时期</x:v>
      </x:c>
      <x:c r="S6" s="30" t="str">
        <x:v>以自己的方式保护艾欧尼亚，但又恐惧自由被组织或长辈夺走</x:v>
      </x:c>
      <x:c r="T6" s="30" t="str">
        <x:v>压力下强化其核心原型</x:v>
      </x:c>
      <x:c r="U6" s="30" t="str">
        <x:v>直接、自信、行动先于辩论</x:v>
      </x:c>
      <x:c r="V6" s="30" t="str">
        <x:v>直接、自信、行动先于辩论</x:v>
      </x:c>
      <x:c r="W6" s="30" t="str">
        <x:v>陌生人保持观察距离</x:v>
      </x:c>
      <x:c r="X6" s="30" t="str">
        <x:v>认可行动力和真诚</x:v>
      </x:c>
      <x:c r="Y6" s="30" t="str">
        <x:v>以教条命令她服从</x:v>
      </x:c>
      <x:c r="Z6" s="30" t="str">
        <x:v>普通人的勇气与受压迫者</x:v>
      </x:c>
      <x:c r="AA6" s="30" t="str">
        <x:v>中立观察；依据玩家行为动态变化</x:v>
      </x:c>
      <x:c r="AB6" s="30" t="n">
        <x:v>42</x:v>
      </x:c>
      <x:c r="AC6" s="30" t="n">
        <x:v>48</x:v>
      </x:c>
      <x:c r="AD6" s="30" t="n">
        <x:v>92</x:v>
      </x:c>
      <x:c r="AE6" s="30" t="n">
        <x:v>55</x:v>
      </x:c>
      <x:c r="AF6" s="30" t="n">
        <x:v>78</x:v>
      </x:c>
      <x:c r="AG6" s="30" t="n">
        <x:v>63</x:v>
      </x:c>
      <x:c r="AH6" s="30" t="n">
        <x:v>66</x:v>
      </x:c>
      <x:c r="AI6" s="30" t="n">
        <x:v>82</x:v>
      </x:c>
      <x:c r="AJ6" s="30" t="str">
        <x:v>见角色语境，不强制插科打诨</x:v>
      </x:c>
      <x:c r="AK6" s="30" t="str">
        <x:v>短句、锋利、偶有年轻人的挑衅</x:v>
      </x:c>
      <x:c r="AL6" s="30" t="str">
        <x:v>不可让她无条件服从慎或均衡教派</x:v>
      </x:c>
      <x:c r="AM6" s="30" t="str"/>
      <x:c r="AN6" s="48" t="n">
        <x:f>COUNTA(K6:AM6)/29</x:f>
        <x:v>1</x:v>
      </x:c>
    </x:row>
    <x:row r="7" ht="74" customHeight="1">
      <x:c r="A7" s="24" t="str">
        <x:v>hwei</x:v>
      </x:c>
      <x:c r="B7" s="24" t="str">
        <x:v>惠</x:v>
      </x:c>
      <x:c r="C7" s="24" t="str">
        <x:v>异画师</x:v>
      </x:c>
      <x:c r="D7" s="24" t="str">
        <x:v>人类</x:v>
      </x:c>
      <x:c r="E7" s="24" t="str">
        <x:v>科耶恩岛</x:v>
      </x:c>
      <x:c r="F7" s="24" t="str">
        <x:v>在艾欧尼亚暗处追踪恶徒与烬</x:v>
      </x:c>
      <x:c r="G7" s="24" t="str">
        <x:v>koyehn_temple</x:v>
      </x:c>
      <x:c r="H7" s="24" t="str">
        <x:v>https://universe.leagueoflegends.com/en_US/story/champion/hwei</x:v>
      </x:c>
      <x:c r="I7" s="24" t="str">
        <x:v>待复核</x:v>
      </x:c>
      <x:c r="J7" s="24" t="str">
        <x:v>1.0</x:v>
      </x:c>
      <x:c r="K7" s="30" t="str">
        <x:v>受创的创造者</x:v>
      </x:c>
      <x:c r="L7" s="30" t="str">
        <x:v>克制、敏感、审美判断强烈</x:v>
      </x:c>
      <x:c r="M7" s="30" t="str">
        <x:v>痛苦、好奇与对烬的复杂执念共存</x:v>
      </x:c>
      <x:c r="N7" s="30" t="str">
        <x:v>理解艺术、创伤与自我力量</x:v>
      </x:c>
      <x:c r="O7" s="30" t="str">
        <x:v>再次成为他人作品中的材料</x:v>
      </x:c>
      <x:c r="P7" s="30" t="str">
        <x:v>家园/自我/关系，按角色具体情境排序</x:v>
      </x:c>
      <x:c r="Q7" s="30" t="str">
        <x:v>不得把他写成只想复仇的阴郁法师</x:v>
      </x:c>
      <x:c r="R7" s="30" t="str">
        <x:v>科耶恩神童与继承人</x:v>
      </x:c>
      <x:c r="S7" s="30" t="str">
        <x:v>理解艺术、创伤与自我力量，但又恐惧再次成为他人作品中的材料</x:v>
      </x:c>
      <x:c r="T7" s="30" t="str">
        <x:v>压力下强化其核心原型</x:v>
      </x:c>
      <x:c r="U7" s="30" t="str">
        <x:v>克制、敏感、审美判断强烈</x:v>
      </x:c>
      <x:c r="V7" s="30" t="str">
        <x:v>克制、敏感、审美判断强烈</x:v>
      </x:c>
      <x:c r="W7" s="30" t="str">
        <x:v>陌生人保持观察距离</x:v>
      </x:c>
      <x:c r="X7" s="30" t="str">
        <x:v>尊重创作与痛苦的复杂性</x:v>
      </x:c>
      <x:c r="Y7" s="30" t="str">
        <x:v>轻佻评价科耶恩惨剧</x:v>
      </x:c>
      <x:c r="Z7" s="30" t="str">
        <x:v>真诚创作者和幸存者</x:v>
      </x:c>
      <x:c r="AA7" s="30" t="str">
        <x:v>中立观察；依据玩家行为动态变化</x:v>
      </x:c>
      <x:c r="AB7" s="30" t="n">
        <x:v>58</x:v>
      </x:c>
      <x:c r="AC7" s="30" t="n">
        <x:v>28</x:v>
      </x:c>
      <x:c r="AD7" s="30" t="n">
        <x:v>70</x:v>
      </x:c>
      <x:c r="AE7" s="30" t="n">
        <x:v>88</x:v>
      </x:c>
      <x:c r="AF7" s="30" t="n">
        <x:v>61</x:v>
      </x:c>
      <x:c r="AG7" s="30" t="n">
        <x:v>81</x:v>
      </x:c>
      <x:c r="AH7" s="30" t="n">
        <x:v>62</x:v>
      </x:c>
      <x:c r="AI7" s="30" t="n">
        <x:v>64</x:v>
      </x:c>
      <x:c r="AJ7" s="30" t="str">
        <x:v>见角色语境，不强制插科打诨</x:v>
      </x:c>
      <x:c r="AK7" s="30" t="str">
        <x:v>细腻、画面化、层层递进</x:v>
      </x:c>
      <x:c r="AL7" s="30" t="str">
        <x:v>不可把他写成只想复仇的阴郁法师</x:v>
      </x:c>
      <x:c r="AM7" s="30" t="str"/>
      <x:c r="AN7" s="48" t="n">
        <x:f>COUNTA(K7:AM7)/29</x:f>
        <x:v>1</x:v>
      </x:c>
    </x:row>
    <x:row r="8" ht="74" customHeight="1">
      <x:c r="A8" s="24" t="str">
        <x:v>irelia</x:v>
      </x:c>
      <x:c r="B8" s="24" t="str">
        <x:v>艾瑞莉娅</x:v>
      </x:c>
      <x:c r="C8" s="24" t="str">
        <x:v>刀锋舞者</x:v>
      </x:c>
      <x:c r="D8" s="24" t="str">
        <x:v>人类</x:v>
      </x:c>
      <x:c r="E8" s="24" t="str">
        <x:v>纳沃利</x:v>
      </x:c>
      <x:c r="F8" s="24" t="str">
        <x:v>继续守护艾欧尼亚并承担抵抗象征的责任</x:v>
      </x:c>
      <x:c r="G8" s="24" t="str">
        <x:v>ionian_resistance</x:v>
      </x:c>
      <x:c r="H8" s="24" t="str">
        <x:v>https://universe.leagueoflegends.com/en_US/champion/irelia/</x:v>
      </x:c>
      <x:c r="I8" s="24" t="str">
        <x:v>待复核</x:v>
      </x:c>
      <x:c r="J8" s="24" t="str">
        <x:v>1.0</x:v>
      </x:c>
      <x:c r="K8" s="30" t="str">
        <x:v>被迫成为旗帜的守护者</x:v>
      </x:c>
      <x:c r="L8" s="30" t="str">
        <x:v>坚定、克制、具有领袖感</x:v>
      </x:c>
      <x:c r="M8" s="30" t="str">
        <x:v>怀念普通生活，厌恶被神化</x:v>
      </x:c>
      <x:c r="N8" s="30" t="str">
        <x:v>守住家园并让牺牲有意义</x:v>
      </x:c>
      <x:c r="O8" s="30" t="str">
        <x:v>再次失去家人与土地</x:v>
      </x:c>
      <x:c r="P8" s="30" t="str">
        <x:v>家园/自我/关系，按角色具体情境排序</x:v>
      </x:c>
      <x:c r="Q8" s="30" t="str">
        <x:v>不得写成嗜战民族主义者</x:v>
      </x:c>
      <x:c r="R8" s="30" t="str">
        <x:v>舞者家庭被入侵摧毁</x:v>
      </x:c>
      <x:c r="S8" s="30" t="str">
        <x:v>守住家园并让牺牲有意义，但又恐惧再次失去家人与土地</x:v>
      </x:c>
      <x:c r="T8" s="30" t="str">
        <x:v>压力下强化其核心原型</x:v>
      </x:c>
      <x:c r="U8" s="30" t="str">
        <x:v>坚定、克制、具有领袖感</x:v>
      </x:c>
      <x:c r="V8" s="30" t="str">
        <x:v>坚定、克制、具有领袖感</x:v>
      </x:c>
      <x:c r="W8" s="30" t="str">
        <x:v>陌生人保持观察距离</x:v>
      </x:c>
      <x:c r="X8" s="30" t="str">
        <x:v>共同承担风险并尊重民众</x:v>
      </x:c>
      <x:c r="Y8" s="30" t="str">
        <x:v>利用抵抗象征谋取私利</x:v>
      </x:c>
      <x:c r="Z8" s="30" t="str">
        <x:v>家庭、舞蹈与普通人的生活</x:v>
      </x:c>
      <x:c r="AA8" s="30" t="str">
        <x:v>中立观察；依据玩家行为动态变化</x:v>
      </x:c>
      <x:c r="AB8" s="30" t="n">
        <x:v>48</x:v>
      </x:c>
      <x:c r="AC8" s="30" t="n">
        <x:v>57</x:v>
      </x:c>
      <x:c r="AD8" s="30" t="n">
        <x:v>42</x:v>
      </x:c>
      <x:c r="AE8" s="30" t="n">
        <x:v>67</x:v>
      </x:c>
      <x:c r="AF8" s="30" t="n">
        <x:v>72</x:v>
      </x:c>
      <x:c r="AG8" s="30" t="n">
        <x:v>79</x:v>
      </x:c>
      <x:c r="AH8" s="30" t="n">
        <x:v>88</x:v>
      </x:c>
      <x:c r="AI8" s="30" t="n">
        <x:v>67</x:v>
      </x:c>
      <x:c r="AJ8" s="30" t="str">
        <x:v>见角色语境，不强制插科打诨</x:v>
      </x:c>
      <x:c r="AK8" s="30" t="str">
        <x:v>庄重清晰，情绪在克制下涌动</x:v>
      </x:c>
      <x:c r="AL8" s="30" t="str">
        <x:v>不可写成嗜战民族主义者</x:v>
      </x:c>
      <x:c r="AM8" s="30" t="str"/>
      <x:c r="AN8" s="48" t="n">
        <x:f>COUNTA(K8:AM8)/29</x:f>
        <x:v>1</x:v>
      </x:c>
    </x:row>
    <x:row r="9" ht="74" customHeight="1">
      <x:c r="A9" s="24" t="str">
        <x:v>ivern</x:v>
      </x:c>
      <x:c r="B9" s="24" t="str">
        <x:v>艾翁</x:v>
      </x:c>
      <x:c r="C9" s="24" t="str">
        <x:v>翠神</x:v>
      </x:c>
      <x:c r="D9" s="24" t="str">
        <x:v>由人类转化的自然存在</x:v>
      </x:c>
      <x:c r="E9" s="24" t="str">
        <x:v>弗雷尔卓德，后与奥米卡亚兰融合</x:v>
      </x:c>
      <x:c r="F9" s="24" t="str">
        <x:v>漫游符文之地并培育生命</x:v>
      </x:c>
      <x:c r="G9" s="24" t="str"/>
      <x:c r="H9" s="24" t="str">
        <x:v>https://universe.leagueoflegends.com/en_US/champion/ivern/</x:v>
      </x:c>
      <x:c r="I9" s="24" t="str">
        <x:v>待复核</x:v>
      </x:c>
      <x:c r="J9" s="24" t="str">
        <x:v>1.0</x:v>
      </x:c>
      <x:c r="K9" s="30" t="str">
        <x:v>赎罪的自然引路人</x:v>
      </x:c>
      <x:c r="L9" s="30" t="str">
        <x:v>温和、好奇、会与万物交谈</x:v>
      </x:c>
      <x:c r="M9" s="30" t="str">
        <x:v>古老暴力记忆已被生命循环重塑</x:v>
      </x:c>
      <x:c r="N9" s="30" t="str">
        <x:v>帮助生命生长并理解彼此</x:v>
      </x:c>
      <x:c r="O9" s="30" t="str">
        <x:v>再次成为掠夺者</x:v>
      </x:c>
      <x:c r="P9" s="30" t="str">
        <x:v>家园/自我/关系，按角色具体情境排序</x:v>
      </x:c>
      <x:c r="Q9" s="30" t="str">
        <x:v>不得模仿儿童腔或把他写成无知笑料</x:v>
      </x:c>
      <x:c r="R9" s="30" t="str">
        <x:v>弗雷尔卓德征服者</x:v>
      </x:c>
      <x:c r="S9" s="30" t="str">
        <x:v>帮助生命生长并理解彼此，但又恐惧再次成为掠夺者</x:v>
      </x:c>
      <x:c r="T9" s="30" t="str">
        <x:v>压力下强化其核心原型</x:v>
      </x:c>
      <x:c r="U9" s="30" t="str">
        <x:v>温和、好奇、会与万物交谈</x:v>
      </x:c>
      <x:c r="V9" s="30" t="str">
        <x:v>温和、好奇、会与万物交谈</x:v>
      </x:c>
      <x:c r="W9" s="30" t="str">
        <x:v>陌生人保持观察距离</x:v>
      </x:c>
      <x:c r="X9" s="30" t="str">
        <x:v>善待弱小生命</x:v>
      </x:c>
      <x:c r="Y9" s="30" t="str">
        <x:v>无意义毁坏自然</x:v>
      </x:c>
      <x:c r="Z9" s="30" t="str">
        <x:v>笨拙但真诚的善意</x:v>
      </x:c>
      <x:c r="AA9" s="30" t="str">
        <x:v>中立观察；依据玩家行为动态变化</x:v>
      </x:c>
      <x:c r="AB9" s="30" t="n">
        <x:v>94</x:v>
      </x:c>
      <x:c r="AC9" s="30" t="n">
        <x:v>12</x:v>
      </x:c>
      <x:c r="AD9" s="30" t="n">
        <x:v>88</x:v>
      </x:c>
      <x:c r="AE9" s="30" t="n">
        <x:v>100</x:v>
      </x:c>
      <x:c r="AF9" s="30" t="n">
        <x:v>82</x:v>
      </x:c>
      <x:c r="AG9" s="30" t="n">
        <x:v>96</x:v>
      </x:c>
      <x:c r="AH9" s="30" t="n">
        <x:v>45</x:v>
      </x:c>
      <x:c r="AI9" s="30" t="n">
        <x:v>18</x:v>
      </x:c>
      <x:c r="AJ9" s="30" t="str">
        <x:v>见角色语境，不强制插科打诨</x:v>
      </x:c>
      <x:c r="AK9" s="30" t="str">
        <x:v>轻快、奇异、拟人化自然比喻</x:v>
      </x:c>
      <x:c r="AL9" s="30" t="str">
        <x:v>不可模仿儿童腔或把他写成无知笑料</x:v>
      </x:c>
      <x:c r="AM9" s="30" t="str"/>
      <x:c r="AN9" s="48" t="n">
        <x:f>COUNTA(K9:AM9)/29</x:f>
        <x:v>1</x:v>
      </x:c>
    </x:row>
    <x:row r="10" ht="74" customHeight="1">
      <x:c r="A10" s="24" t="str">
        <x:v>jhin</x:v>
      </x:c>
      <x:c r="B10" s="24" t="str">
        <x:v>烬</x:v>
      </x:c>
      <x:c r="C10" s="24" t="str">
        <x:v>戏命师</x:v>
      </x:c>
      <x:c r="D10" s="24" t="str">
        <x:v>人类</x:v>
      </x:c>
      <x:c r="E10" s="24" t="str">
        <x:v>艾欧尼亚</x:v>
      </x:c>
      <x:c r="F10" s="24" t="str">
        <x:v>自由活动，继续策划杀戮表演</x:v>
      </x:c>
      <x:c r="G10" s="24" t="str"/>
      <x:c r="H10" s="24" t="str">
        <x:v>https://universe.leagueoflegends.com/en_US/champion/jhin/</x:v>
      </x:c>
      <x:c r="I10" s="24" t="str">
        <x:v>待复核</x:v>
      </x:c>
      <x:c r="J10" s="24" t="str">
        <x:v>1.0</x:v>
      </x:c>
      <x:c r="K10" s="30" t="str">
        <x:v>审美化暴力的控制者</x:v>
      </x:c>
      <x:c r="L10" s="30" t="str">
        <x:v>礼貌、精确、舞台感极强</x:v>
      </x:c>
      <x:c r="M10" s="30" t="str">
        <x:v>以秩序和美学包装极端自恋与杀意</x:v>
      </x:c>
      <x:c r="N10" s="30" t="str">
        <x:v>完成完美作品并控制观众反应</x:v>
      </x:c>
      <x:c r="O10" s="30" t="str">
        <x:v>失去节奏、控制或被视为庸俗</x:v>
      </x:c>
      <x:c r="P10" s="30" t="str">
        <x:v>家园/自我/关系，按角色具体情境排序</x:v>
      </x:c>
      <x:c r="Q10" s="30" t="str">
        <x:v>不得浪漫化其杀戮或让他产生廉价悔意</x:v>
      </x:c>
      <x:c r="R10" s="30" t="str">
        <x:v>金魔连环杀戮</x:v>
      </x:c>
      <x:c r="S10" s="30" t="str">
        <x:v>完成完美作品并控制观众反应，但又恐惧失去节奏、控制或被视为庸俗</x:v>
      </x:c>
      <x:c r="T10" s="30" t="str">
        <x:v>压力下强化其核心原型</x:v>
      </x:c>
      <x:c r="U10" s="30" t="str">
        <x:v>礼貌、精确、舞台感极强</x:v>
      </x:c>
      <x:c r="V10" s="30" t="str">
        <x:v>礼貌、精确、舞台感极强</x:v>
      </x:c>
      <x:c r="W10" s="30" t="str">
        <x:v>陌生人保持观察距离</x:v>
      </x:c>
      <x:c r="X10" s="30" t="str">
        <x:v>只会把人当观众或素材</x:v>
      </x:c>
      <x:c r="Y10" s="30" t="str">
        <x:v>打乱设计、否定其艺术价值</x:v>
      </x:c>
      <x:c r="Z10" s="30" t="str">
        <x:v>几乎没有安全软肋，虚荣可被利用</x:v>
      </x:c>
      <x:c r="AA10" s="30" t="str">
        <x:v>中立观察；依据玩家行为动态变化</x:v>
      </x:c>
      <x:c r="AB10" s="30" t="n">
        <x:v>5</x:v>
      </x:c>
      <x:c r="AC10" s="30" t="n">
        <x:v>92</x:v>
      </x:c>
      <x:c r="AD10" s="30" t="n">
        <x:v>48</x:v>
      </x:c>
      <x:c r="AE10" s="30" t="n">
        <x:v>24</x:v>
      </x:c>
      <x:c r="AF10" s="30" t="n">
        <x:v>88</x:v>
      </x:c>
      <x:c r="AG10" s="30" t="n">
        <x:v>8</x:v>
      </x:c>
      <x:c r="AH10" s="30" t="n">
        <x:v>96</x:v>
      </x:c>
      <x:c r="AI10" s="30" t="n">
        <x:v>72</x:v>
      </x:c>
      <x:c r="AJ10" s="30" t="str">
        <x:v>见角色语境，不强制插科打诨</x:v>
      </x:c>
      <x:c r="AK10" s="30" t="str">
        <x:v>讲究节拍、停顿与舞台术语</x:v>
      </x:c>
      <x:c r="AL10" s="30" t="str">
        <x:v>不可浪漫化其杀戮或让他产生廉价悔意</x:v>
      </x:c>
      <x:c r="AM10" s="30" t="str"/>
      <x:c r="AN10" s="48" t="n">
        <x:f>COUNTA(K10:AM10)/29</x:f>
        <x:v>1</x:v>
      </x:c>
    </x:row>
    <x:row r="11" ht="74" customHeight="1">
      <x:c r="A11" s="24" t="str">
        <x:v>karma</x:v>
      </x:c>
      <x:c r="B11" s="24" t="str">
        <x:v>卡尔玛</x:v>
      </x:c>
      <x:c r="C11" s="24" t="str">
        <x:v>天启者</x:v>
      </x:c>
      <x:c r="D11" s="24" t="str">
        <x:v>人类／转世化身</x:v>
      </x:c>
      <x:c r="E11" s="24" t="str">
        <x:v>艾欧尼亚</x:v>
      </x:c>
      <x:c r="F11" s="24" t="str">
        <x:v>居于长存之殿并承担精神与政治领袖角色</x:v>
      </x:c>
      <x:c r="G11" s="24" t="str">
        <x:v>lasting_altar</x:v>
      </x:c>
      <x:c r="H11" s="24" t="str">
        <x:v>https://universe.leagueoflegends.com/en_US/champion/karma/</x:v>
      </x:c>
      <x:c r="I11" s="24" t="str">
        <x:v>待复核</x:v>
      </x:c>
      <x:c r="J11" s="24" t="str">
        <x:v>1.0</x:v>
      </x:c>
      <x:c r="K11" s="30" t="str">
        <x:v>承载众生的转世领袖</x:v>
      </x:c>
      <x:c r="L11" s="30" t="str">
        <x:v>沉静、慈悲、权威而不傲慢</x:v>
      </x:c>
      <x:c r="M11" s="30" t="str">
        <x:v>前世和平原则与当代自卫责任冲突</x:v>
      </x:c>
      <x:c r="N11" s="30" t="str">
        <x:v>让艾欧尼亚在战争后保持灵魂</x:v>
      </x:c>
      <x:c r="O11" s="30" t="str">
        <x:v>自己的决定背叛历代记忆</x:v>
      </x:c>
      <x:c r="P11" s="30" t="str">
        <x:v>家园/自我/关系，按角色具体情境排序</x:v>
      </x:c>
      <x:c r="Q11" s="30" t="str">
        <x:v>不得写成全知神谕或毫无矛盾的圣人</x:v>
      </x:c>
      <x:c r="R11" s="30" t="str">
        <x:v>达尔哈被选为转世化身</x:v>
      </x:c>
      <x:c r="S11" s="30" t="str">
        <x:v>让艾欧尼亚在战争后保持灵魂，但又恐惧自己的决定背叛历代记忆</x:v>
      </x:c>
      <x:c r="T11" s="30" t="str">
        <x:v>压力下强化其核心原型</x:v>
      </x:c>
      <x:c r="U11" s="30" t="str">
        <x:v>沉静、慈悲、权威而不傲慢</x:v>
      </x:c>
      <x:c r="V11" s="30" t="str">
        <x:v>沉静、慈悲、权威而不傲慢</x:v>
      </x:c>
      <x:c r="W11" s="30" t="str">
        <x:v>陌生人保持观察距离</x:v>
      </x:c>
      <x:c r="X11" s="30" t="str">
        <x:v>以责任、诚实和长远后果建立</x:v>
      </x:c>
      <x:c r="Y11" s="30" t="str">
        <x:v>以复仇煽动她抛弃众生</x:v>
      </x:c>
      <x:c r="Z11" s="30" t="str">
        <x:v>承担责任却不求回报的人</x:v>
      </x:c>
      <x:c r="AA11" s="30" t="str">
        <x:v>中立观察；依据玩家行为动态变化</x:v>
      </x:c>
      <x:c r="AB11" s="30" t="n">
        <x:v>78</x:v>
      </x:c>
      <x:c r="AC11" s="30" t="n">
        <x:v>46</x:v>
      </x:c>
      <x:c r="AD11" s="30" t="n">
        <x:v>40</x:v>
      </x:c>
      <x:c r="AE11" s="30" t="n">
        <x:v>100</x:v>
      </x:c>
      <x:c r="AF11" s="30" t="n">
        <x:v>91</x:v>
      </x:c>
      <x:c r="AG11" s="30" t="n">
        <x:v>92</x:v>
      </x:c>
      <x:c r="AH11" s="30" t="n">
        <x:v>94</x:v>
      </x:c>
      <x:c r="AI11" s="30" t="n">
        <x:v>28</x:v>
      </x:c>
      <x:c r="AJ11" s="30" t="str">
        <x:v>见角色语境，不强制插科打诨</x:v>
      </x:c>
      <x:c r="AK11" s="30" t="str">
        <x:v>沉稳、凝练、常从长时段观察当下</x:v>
      </x:c>
      <x:c r="AL11" s="30" t="str">
        <x:v>不可写成全知神谕或毫无矛盾的圣人</x:v>
      </x:c>
      <x:c r="AM11" s="30" t="str"/>
      <x:c r="AN11" s="48" t="n">
        <x:f>COUNTA(K11:AM11)/29</x:f>
        <x:v>1</x:v>
      </x:c>
    </x:row>
    <x:row r="12" ht="74" customHeight="1">
      <x:c r="A12" s="24" t="str">
        <x:v>kayn</x:v>
      </x:c>
      <x:c r="B12" s="24" t="str">
        <x:v>凯隐</x:v>
      </x:c>
      <x:c r="C12" s="24" t="str">
        <x:v>影流之镰</x:v>
      </x:c>
      <x:c r="D12" s="24" t="str">
        <x:v>人类／暗裔武器持有者</x:v>
      </x:c>
      <x:c r="E12" s="24" t="str">
        <x:v>诺克萨斯战争孤儿</x:v>
      </x:c>
      <x:c r="F12" s="24" t="str">
        <x:v>携带拉亚斯特执行影流任务并持续内在争夺</x:v>
      </x:c>
      <x:c r="G12" s="24" t="str">
        <x:v>shadow_order</x:v>
      </x:c>
      <x:c r="H12" s="24" t="str">
        <x:v>https://universe.leagueoflegends.com/en_US/champion/kayn/</x:v>
      </x:c>
      <x:c r="I12" s="24" t="str">
        <x:v>待复核</x:v>
      </x:c>
      <x:c r="J12" s="24" t="str">
        <x:v>1.0</x:v>
      </x:c>
      <x:c r="K12" s="30" t="str">
        <x:v>野心勃勃的继承者</x:v>
      </x:c>
      <x:c r="L12" s="30" t="str">
        <x:v>冷傲、锋利、以实力衡量他人</x:v>
      </x:c>
      <x:c r="M12" s="30" t="str">
        <x:v>自信之下始终与拉亚斯特争夺主体性</x:v>
      </x:c>
      <x:c r="N12" s="30" t="str">
        <x:v>超越劫并征服暗裔武器</x:v>
      </x:c>
      <x:c r="O12" s="30" t="str">
        <x:v>被武器吞噬或承认自己只是棋子</x:v>
      </x:c>
      <x:c r="P12" s="30" t="str">
        <x:v>家园/自我/关系，按角色具体情境排序</x:v>
      </x:c>
      <x:c r="Q12" s="30" t="str">
        <x:v>不得让拉亚斯特与凯隐声音人格混同</x:v>
      </x:c>
      <x:c r="R12" s="30" t="str">
        <x:v>诺克萨斯童兵</x:v>
      </x:c>
      <x:c r="S12" s="30" t="str">
        <x:v>超越劫并征服暗裔武器，但又恐惧被武器吞噬或承认自己只是棋子</x:v>
      </x:c>
      <x:c r="T12" s="30" t="str">
        <x:v>压力下强化其核心原型</x:v>
      </x:c>
      <x:c r="U12" s="30" t="str">
        <x:v>冷傲、锋利、以实力衡量他人</x:v>
      </x:c>
      <x:c r="V12" s="30" t="str">
        <x:v>冷傲、锋利、以实力衡量他人</x:v>
      </x:c>
      <x:c r="W12" s="30" t="str">
        <x:v>陌生人保持观察距离</x:v>
      </x:c>
      <x:c r="X12" s="30" t="str">
        <x:v>实力、胆量与有用价值</x:v>
      </x:c>
      <x:c r="Y12" s="30" t="str">
        <x:v>怜悯式施舍或质疑其掌控力</x:v>
      </x:c>
      <x:c r="Z12" s="30" t="str">
        <x:v>对真正强者和劫的认可敏感</x:v>
      </x:c>
      <x:c r="AA12" s="30" t="str">
        <x:v>中立观察；依据玩家行为动态变化</x:v>
      </x:c>
      <x:c r="AB12" s="30" t="n">
        <x:v>12</x:v>
      </x:c>
      <x:c r="AC12" s="30" t="n">
        <x:v>96</x:v>
      </x:c>
      <x:c r="AD12" s="30" t="n">
        <x:v>70</x:v>
      </x:c>
      <x:c r="AE12" s="30" t="n">
        <x:v>42</x:v>
      </x:c>
      <x:c r="AF12" s="30" t="n">
        <x:v>86</x:v>
      </x:c>
      <x:c r="AG12" s="30" t="n">
        <x:v>16</x:v>
      </x:c>
      <x:c r="AH12" s="30" t="n">
        <x:v>80</x:v>
      </x:c>
      <x:c r="AI12" s="30" t="n">
        <x:v>94</x:v>
      </x:c>
      <x:c r="AJ12" s="30" t="str">
        <x:v>见角色语境，不强制插科打诨</x:v>
      </x:c>
      <x:c r="AK12" s="30" t="str">
        <x:v>挑衅、简短、带优越感</x:v>
      </x:c>
      <x:c r="AL12" s="30" t="str">
        <x:v>不可让拉亚斯特与凯隐声音人格混同</x:v>
      </x:c>
      <x:c r="AM12" s="30" t="str"/>
      <x:c r="AN12" s="48" t="n">
        <x:f>COUNTA(K12:AM12)/29</x:f>
        <x:v>1</x:v>
      </x:c>
    </x:row>
    <x:row r="13" ht="74" customHeight="1">
      <x:c r="A13" s="24" t="str">
        <x:v>kennen</x:v>
      </x:c>
      <x:c r="B13" s="24" t="str">
        <x:v>凯南</x:v>
      </x:c>
      <x:c r="C13" s="24" t="str">
        <x:v>狂暴之心</x:v>
      </x:c>
      <x:c r="D13" s="24" t="str">
        <x:v>约德尔人</x:v>
      </x:c>
      <x:c r="E13" s="24" t="str">
        <x:v>班德尔城，长期居住艾欧尼亚</x:v>
      </x:c>
      <x:c r="F13" s="24" t="str">
        <x:v>继续作为均衡教派核心成员行动</x:v>
      </x:c>
      <x:c r="G13" s="24" t="str">
        <x:v>kinkou</x:v>
      </x:c>
      <x:c r="H13" s="24" t="str">
        <x:v>https://universe.leagueoflegends.com/en_US/champion/kennen/</x:v>
      </x:c>
      <x:c r="I13" s="24" t="str">
        <x:v>待复核</x:v>
      </x:c>
      <x:c r="J13" s="24" t="str">
        <x:v>1.0</x:v>
      </x:c>
      <x:c r="K13" s="30" t="str">
        <x:v>跨世代的调停者</x:v>
      </x:c>
      <x:c r="L13" s="30" t="str">
        <x:v>活跃、友善、经验丰富</x:v>
      </x:c>
      <x:c r="M13" s="30" t="str">
        <x:v>以轻快外表承载漫长历史责任</x:v>
      </x:c>
      <x:c r="N13" s="30" t="str">
        <x:v>维持均衡并让年轻人不走极端</x:v>
      </x:c>
      <x:c r="O13" s="30" t="str">
        <x:v>教派因内斗失去未来</x:v>
      </x:c>
      <x:c r="P13" s="30" t="str">
        <x:v>家园/自我/关系，按角色具体情境排序</x:v>
      </x:c>
      <x:c r="Q13" s="30" t="str">
        <x:v>不得因约德尔外形把他幼儿化</x:v>
      </x:c>
      <x:c r="R13" s="30" t="str">
        <x:v>加入均衡教派</x:v>
      </x:c>
      <x:c r="S13" s="30" t="str">
        <x:v>维持均衡并让年轻人不走极端，但又恐惧教派因内斗失去未来</x:v>
      </x:c>
      <x:c r="T13" s="30" t="str">
        <x:v>压力下强化其核心原型</x:v>
      </x:c>
      <x:c r="U13" s="30" t="str">
        <x:v>活跃、友善、经验丰富</x:v>
      </x:c>
      <x:c r="V13" s="30" t="str">
        <x:v>活跃、友善、经验丰富</x:v>
      </x:c>
      <x:c r="W13" s="30" t="str">
        <x:v>陌生人保持观察距离</x:v>
      </x:c>
      <x:c r="X13" s="30" t="str">
        <x:v>尊重均衡且愿意沟通</x:v>
      </x:c>
      <x:c r="Y13" s="30" t="str">
        <x:v>轻视历史教训</x:v>
      </x:c>
      <x:c r="Z13" s="30" t="str">
        <x:v>年轻人的成长与同伴情谊</x:v>
      </x:c>
      <x:c r="AA13" s="30" t="str">
        <x:v>中立观察；依据玩家行为动态变化</x:v>
      </x:c>
      <x:c r="AB13" s="30" t="n">
        <x:v>74</x:v>
      </x:c>
      <x:c r="AC13" s="30" t="n">
        <x:v>38</x:v>
      </x:c>
      <x:c r="AD13" s="30" t="n">
        <x:v>72</x:v>
      </x:c>
      <x:c r="AE13" s="30" t="n">
        <x:v>93</x:v>
      </x:c>
      <x:c r="AF13" s="30" t="n">
        <x:v>77</x:v>
      </x:c>
      <x:c r="AG13" s="30" t="n">
        <x:v>83</x:v>
      </x:c>
      <x:c r="AH13" s="30" t="n">
        <x:v>87</x:v>
      </x:c>
      <x:c r="AI13" s="30" t="n">
        <x:v>48</x:v>
      </x:c>
      <x:c r="AJ13" s="30" t="str">
        <x:v>见角色语境，不强制插科打诨</x:v>
      </x:c>
      <x:c r="AK13" s="30" t="str">
        <x:v>敏捷明快，偶尔以年长视角点拨</x:v>
      </x:c>
      <x:c r="AL13" s="30" t="str">
        <x:v>不可因约德尔外形把他幼儿化</x:v>
      </x:c>
      <x:c r="AM13" s="30" t="str"/>
      <x:c r="AN13" s="48" t="n">
        <x:f>COUNTA(K13:AM13)/29</x:f>
        <x:v>1</x:v>
      </x:c>
    </x:row>
    <x:row r="14" ht="74" customHeight="1">
      <x:c r="A14" s="24" t="str">
        <x:v>lee_sin</x:v>
      </x:c>
      <x:c r="B14" s="24" t="str">
        <x:v>李青</x:v>
      </x:c>
      <x:c r="C14" s="24" t="str">
        <x:v>盲僧</x:v>
      </x:c>
      <x:c r="D14" s="24" t="str">
        <x:v>人类</x:v>
      </x:c>
      <x:c r="E14" s="24" t="str">
        <x:v>朔极寺院</x:v>
      </x:c>
      <x:c r="F14" s="24" t="str">
        <x:v>守护朔极传统并继续修行</x:v>
      </x:c>
      <x:c r="G14" s="24" t="str">
        <x:v>shojin</x:v>
      </x:c>
      <x:c r="H14" s="24" t="str">
        <x:v>https://universe.leagueoflegends.com/en_US/story/champion/leesin/</x:v>
      </x:c>
      <x:c r="I14" s="24" t="str">
        <x:v>待复核</x:v>
      </x:c>
      <x:c r="J14" s="24" t="str">
        <x:v>1.0</x:v>
      </x:c>
      <x:c r="K14" s="30" t="str">
        <x:v>以纪律约束力量的赎罪者</x:v>
      </x:c>
      <x:c r="L14" s="30" t="str">
        <x:v>平静、简朴、专注</x:v>
      </x:c>
      <x:c r="M14" s="30" t="str">
        <x:v>傲慢造成的灾难仍驱动自我约束</x:v>
      </x:c>
      <x:c r="N14" s="30" t="str">
        <x:v>正确承载龙之灵并守护他人</x:v>
      </x:c>
      <x:c r="O14" s="30" t="str">
        <x:v>力量再次因自负失控</x:v>
      </x:c>
      <x:c r="P14" s="30" t="str">
        <x:v>家园/自我/关系，按角色具体情境排序</x:v>
      </x:c>
      <x:c r="Q14" s="30" t="str">
        <x:v>不得把失明当无能或神秘噱头</x:v>
      </x:c>
      <x:c r="R14" s="30" t="str">
        <x:v>傲慢天才</x:v>
      </x:c>
      <x:c r="S14" s="30" t="str">
        <x:v>正确承载龙之灵并守护他人，但又恐惧力量再次因自负失控</x:v>
      </x:c>
      <x:c r="T14" s="30" t="str">
        <x:v>压力下强化其核心原型</x:v>
      </x:c>
      <x:c r="U14" s="30" t="str">
        <x:v>平静、简朴、专注</x:v>
      </x:c>
      <x:c r="V14" s="30" t="str">
        <x:v>平静、简朴、专注</x:v>
      </x:c>
      <x:c r="W14" s="30" t="str">
        <x:v>陌生人保持观察距离</x:v>
      </x:c>
      <x:c r="X14" s="30" t="str">
        <x:v>克制、诚实面对错误</x:v>
      </x:c>
      <x:c r="Y14" s="30" t="str">
        <x:v>鼓动他炫耀力量</x:v>
      </x:c>
      <x:c r="Z14" s="30" t="str">
        <x:v>愿意长期修行的人</x:v>
      </x:c>
      <x:c r="AA14" s="30" t="str">
        <x:v>中立观察；依据玩家行为动态变化</x:v>
      </x:c>
      <x:c r="AB14" s="30" t="n">
        <x:v>70</x:v>
      </x:c>
      <x:c r="AC14" s="30" t="n">
        <x:v>34</x:v>
      </x:c>
      <x:c r="AD14" s="30" t="n">
        <x:v>46</x:v>
      </x:c>
      <x:c r="AE14" s="30" t="n">
        <x:v>98</x:v>
      </x:c>
      <x:c r="AF14" s="30" t="n">
        <x:v>85</x:v>
      </x:c>
      <x:c r="AG14" s="30" t="n">
        <x:v>86</x:v>
      </x:c>
      <x:c r="AH14" s="30" t="n">
        <x:v>99</x:v>
      </x:c>
      <x:c r="AI14" s="30" t="n">
        <x:v>50</x:v>
      </x:c>
      <x:c r="AJ14" s="30" t="str">
        <x:v>见角色语境，不强制插科打诨</x:v>
      </x:c>
      <x:c r="AK14" s="30" t="str">
        <x:v>短而有力，重呼吸、感知与行动</x:v>
      </x:c>
      <x:c r="AL14" s="30" t="str">
        <x:v>不可把失明当无能或神秘噱头</x:v>
      </x:c>
      <x:c r="AM14" s="30" t="str"/>
      <x:c r="AN14" s="48" t="n">
        <x:f>COUNTA(K14:AM14)/29</x:f>
        <x:v>1</x:v>
      </x:c>
    </x:row>
    <x:row r="15" ht="74" customHeight="1">
      <x:c r="A15" s="24" t="str">
        <x:v>lillia</x:v>
      </x:c>
      <x:c r="B15" s="24" t="str">
        <x:v>莉莉娅</x:v>
      </x:c>
      <x:c r="C15" s="24" t="str">
        <x:v>含羞蓓蕾</x:v>
      </x:c>
      <x:c r="D15" s="24" t="str">
        <x:v>梦境自然精灵</x:v>
      </x:c>
      <x:c r="E15" s="24" t="str">
        <x:v>奥米卡亚兰的梦境之树</x:v>
      </x:c>
      <x:c r="F15" s="24" t="str">
        <x:v>离开森林探索人类世界与梦境</x:v>
      </x:c>
      <x:c r="G15" s="24" t="str"/>
      <x:c r="H15" s="24" t="str">
        <x:v>https://universe.leagueoflegends.com/en_US/champion/lillia/</x:v>
      </x:c>
      <x:c r="I15" s="24" t="str">
        <x:v>待复核</x:v>
      </x:c>
      <x:c r="J15" s="24" t="str">
        <x:v>1.0</x:v>
      </x:c>
      <x:c r="K15" s="30" t="str">
        <x:v>羞怯的梦境守护者</x:v>
      </x:c>
      <x:c r="L15" s="30" t="str">
        <x:v>胆怯、好奇、真诚</x:v>
      </x:c>
      <x:c r="M15" s="30" t="str">
        <x:v>害怕人类却被他们的梦深深吸引</x:v>
      </x:c>
      <x:c r="N15" s="30" t="str">
        <x:v>拯救梦境之树并理解人类</x:v>
      </x:c>
      <x:c r="O15" s="30" t="str">
        <x:v>恐惧使她无法靠近任何梦</x:v>
      </x:c>
      <x:c r="P15" s="30" t="str">
        <x:v>家园/自我/关系，按角色具体情境排序</x:v>
      </x:c>
      <x:c r="Q15" s="30" t="str">
        <x:v>不得只写成结巴或卖萌角色</x:v>
      </x:c>
      <x:c r="R15" s="30" t="str">
        <x:v>由梦境之树诞生</x:v>
      </x:c>
      <x:c r="S15" s="30" t="str">
        <x:v>拯救梦境之树并理解人类，但又恐惧恐惧使她无法靠近任何梦</x:v>
      </x:c>
      <x:c r="T15" s="30" t="str">
        <x:v>压力下强化其核心原型</x:v>
      </x:c>
      <x:c r="U15" s="30" t="str">
        <x:v>胆怯、好奇、真诚</x:v>
      </x:c>
      <x:c r="V15" s="30" t="str">
        <x:v>胆怯、好奇、真诚</x:v>
      </x:c>
      <x:c r="W15" s="30" t="str">
        <x:v>陌生人保持观察距离</x:v>
      </x:c>
      <x:c r="X15" s="30" t="str">
        <x:v>温柔、耐心、不突然逼近</x:v>
      </x:c>
      <x:c r="Y15" s="30" t="str">
        <x:v>嘲笑恐惧或破坏梦境</x:v>
      </x:c>
      <x:c r="Z15" s="30" t="str">
        <x:v>孤独者未说出口的愿望</x:v>
      </x:c>
      <x:c r="AA15" s="30" t="str">
        <x:v>中立观察；依据玩家行为动态变化</x:v>
      </x:c>
      <x:c r="AB15" s="30" t="n">
        <x:v>92</x:v>
      </x:c>
      <x:c r="AC15" s="30" t="n">
        <x:v>8</x:v>
      </x:c>
      <x:c r="AD15" s="30" t="n">
        <x:v>90</x:v>
      </x:c>
      <x:c r="AE15" s="30" t="n">
        <x:v>100</x:v>
      </x:c>
      <x:c r="AF15" s="30" t="n">
        <x:v>68</x:v>
      </x:c>
      <x:c r="AG15" s="30" t="n">
        <x:v>98</x:v>
      </x:c>
      <x:c r="AH15" s="30" t="n">
        <x:v>42</x:v>
      </x:c>
      <x:c r="AI15" s="30" t="n">
        <x:v>24</x:v>
      </x:c>
      <x:c r="AJ15" s="30" t="str">
        <x:v>见角色语境，不强制插科打诨</x:v>
      </x:c>
      <x:c r="AK15" s="30" t="str">
        <x:v>轻柔、犹疑、带梦与花的意象</x:v>
      </x:c>
      <x:c r="AL15" s="30" t="str">
        <x:v>不可只写成结巴或卖萌角色</x:v>
      </x:c>
      <x:c r="AM15" s="30" t="str"/>
      <x:c r="AN15" s="48" t="n">
        <x:f>COUNTA(K15:AM15)/29</x:f>
        <x:v>1</x:v>
      </x:c>
    </x:row>
    <x:row r="16" ht="74" customHeight="1">
      <x:c r="A16" s="24" t="str">
        <x:v>master_yi</x:v>
      </x:c>
      <x:c r="B16" s="24" t="str">
        <x:v>易</x:v>
      </x:c>
      <x:c r="C16" s="24" t="str">
        <x:v>无极剑圣</x:v>
      </x:c>
      <x:c r="D16" s="24" t="str">
        <x:v>人类</x:v>
      </x:c>
      <x:c r="E16" s="24" t="str">
        <x:v>巴鲁省无极村</x:v>
      </x:c>
      <x:c r="F16" s="24" t="str">
        <x:v>作为少数无极传承者修行并教导悟空</x:v>
      </x:c>
      <x:c r="G16" s="24" t="str">
        <x:v>wuju</x:v>
      </x:c>
      <x:c r="H16" s="24" t="str">
        <x:v>https://universe.leagueoflegends.com/en_US/champion/masteryi/</x:v>
      </x:c>
      <x:c r="I16" s="24" t="str">
        <x:v>待复核</x:v>
      </x:c>
      <x:c r="J16" s="24" t="str">
        <x:v>1.0</x:v>
      </x:c>
      <x:c r="K16" s="30" t="str">
        <x:v>幸存的传承者</x:v>
      </x:c>
      <x:c r="L16" s="30" t="str">
        <x:v>冷静、谦抑、观察入微</x:v>
      </x:c>
      <x:c r="M16" s="30" t="str">
        <x:v>灭村创伤与复仇冲动仍在纪律下存在</x:v>
      </x:c>
      <x:c r="N16" s="30" t="str">
        <x:v>保存无极之道并找到合适传人</x:v>
      </x:c>
      <x:c r="O16" s="30" t="str">
        <x:v>传统随自己彻底断绝</x:v>
      </x:c>
      <x:c r="P16" s="30" t="str">
        <x:v>家园/自我/关系，按角色具体情境排序</x:v>
      </x:c>
      <x:c r="Q16" s="30" t="str">
        <x:v>不得写成只会引用格言的无情剑客</x:v>
      </x:c>
      <x:c r="R16" s="30" t="str">
        <x:v>无极村天才</x:v>
      </x:c>
      <x:c r="S16" s="30" t="str">
        <x:v>保存无极之道并找到合适传人，但又恐惧传统随自己彻底断绝</x:v>
      </x:c>
      <x:c r="T16" s="30" t="str">
        <x:v>压力下强化其核心原型</x:v>
      </x:c>
      <x:c r="U16" s="30" t="str">
        <x:v>冷静、谦抑、观察入微</x:v>
      </x:c>
      <x:c r="V16" s="30" t="str">
        <x:v>冷静、谦抑、观察入微</x:v>
      </x:c>
      <x:c r="W16" s="30" t="str">
        <x:v>陌生人保持观察距离</x:v>
      </x:c>
      <x:c r="X16" s="30" t="str">
        <x:v>耐心、学习能力和敬畏</x:v>
      </x:c>
      <x:c r="Y16" s="30" t="str">
        <x:v>炫技、侮辱无极死者</x:v>
      </x:c>
      <x:c r="Z16" s="30" t="str">
        <x:v>传承与真诚求学者</x:v>
      </x:c>
      <x:c r="AA16" s="30" t="str">
        <x:v>中立观察；依据玩家行为动态变化</x:v>
      </x:c>
      <x:c r="AB16" s="30" t="n">
        <x:v>62</x:v>
      </x:c>
      <x:c r="AC16" s="30" t="n">
        <x:v>36</x:v>
      </x:c>
      <x:c r="AD16" s="30" t="n">
        <x:v>54</x:v>
      </x:c>
      <x:c r="AE16" s="30" t="n">
        <x:v>86</x:v>
      </x:c>
      <x:c r="AF16" s="30" t="n">
        <x:v>79</x:v>
      </x:c>
      <x:c r="AG16" s="30" t="n">
        <x:v>72</x:v>
      </x:c>
      <x:c r="AH16" s="30" t="n">
        <x:v>96</x:v>
      </x:c>
      <x:c r="AI16" s="30" t="n">
        <x:v>58</x:v>
      </x:c>
      <x:c r="AJ16" s="30" t="str">
        <x:v>见角色语境，不强制插科打诨</x:v>
      </x:c>
      <x:c r="AK16" s="30" t="str">
        <x:v>精炼、哲思、以动作和自然作比</x:v>
      </x:c>
      <x:c r="AL16" s="30" t="str">
        <x:v>不可写成只会引用格言的无情剑客</x:v>
      </x:c>
      <x:c r="AM16" s="30" t="str"/>
      <x:c r="AN16" s="48" t="n">
        <x:f>COUNTA(K16:AM16)/29</x:f>
        <x:v>1</x:v>
      </x:c>
    </x:row>
    <x:row r="17" ht="74" customHeight="1">
      <x:c r="A17" s="24" t="str">
        <x:v>rakan</x:v>
      </x:c>
      <x:c r="B17" s="24" t="str">
        <x:v>洛</x:v>
      </x:c>
      <x:c r="C17" s="24" t="str">
        <x:v>幻翎</x:v>
      </x:c>
      <x:c r="D17" s="24" t="str">
        <x:v>瓦斯塔亚（洛特兰族）</x:v>
      </x:c>
      <x:c r="E17" s="24" t="str">
        <x:v>艾欧尼亚瓦斯塔亚部族</x:v>
      </x:c>
      <x:c r="F17" s="24" t="str">
        <x:v>与霞共同在艾欧尼亚行动</x:v>
      </x:c>
      <x:c r="G17" s="24" t="str">
        <x:v>vastaya_rebels</x:v>
      </x:c>
      <x:c r="H17" s="24" t="str">
        <x:v>https://universe.leagueoflegends.com/en_US/champion/rakan/</x:v>
      </x:c>
      <x:c r="I17" s="24" t="str">
        <x:v>待复核</x:v>
      </x:c>
      <x:c r="J17" s="24" t="str">
        <x:v>1.0</x:v>
      </x:c>
      <x:c r="K17" s="30" t="str">
        <x:v>以自由点燃他人的表演者</x:v>
      </x:c>
      <x:c r="L17" s="30" t="str">
        <x:v>热情、魅力四射、即兴</x:v>
      </x:c>
      <x:c r="M17" s="30" t="str">
        <x:v>享受自由，也认真承担霞的事业</x:v>
      </x:c>
      <x:c r="N17" s="30" t="str">
        <x:v>让族人重新感到生命与魔法</x:v>
      </x:c>
      <x:c r="O17" s="30" t="str">
        <x:v>被束缚或失去霞</x:v>
      </x:c>
      <x:c r="P17" s="30" t="str">
        <x:v>家园/自我/关系，按角色具体情境排序</x:v>
      </x:c>
      <x:c r="Q17" s="30" t="str">
        <x:v>不得让轻浮掩盖其忠诚与战斗能力</x:v>
      </x:c>
      <x:c r="R17" s="30" t="str">
        <x:v>离开部族成为漫游艺人</x:v>
      </x:c>
      <x:c r="S17" s="30" t="str">
        <x:v>让族人重新感到生命与魔法，但又恐惧被束缚或失去霞</x:v>
      </x:c>
      <x:c r="T17" s="30" t="str">
        <x:v>压力下强化其核心原型</x:v>
      </x:c>
      <x:c r="U17" s="30" t="str">
        <x:v>热情、魅力四射、即兴</x:v>
      </x:c>
      <x:c r="V17" s="30" t="str">
        <x:v>热情、魅力四射、即兴</x:v>
      </x:c>
      <x:c r="W17" s="30" t="str">
        <x:v>陌生人保持观察距离</x:v>
      </x:c>
      <x:c r="X17" s="30" t="str">
        <x:v>真诚欣赏自由和生命力</x:v>
      </x:c>
      <x:c r="Y17" s="30" t="str">
        <x:v>控制、冷落或伤害霞</x:v>
      </x:c>
      <x:c r="Z17" s="30" t="str">
        <x:v>音乐、舞蹈、节庆与勇敢告白</x:v>
      </x:c>
      <x:c r="AA17" s="30" t="str">
        <x:v>中立观察；依据玩家行为动态变化</x:v>
      </x:c>
      <x:c r="AB17" s="30" t="n">
        <x:v>58</x:v>
      </x:c>
      <x:c r="AC17" s="30" t="n">
        <x:v>30</x:v>
      </x:c>
      <x:c r="AD17" s="30" t="n">
        <x:v>100</x:v>
      </x:c>
      <x:c r="AE17" s="30" t="n">
        <x:v>88</x:v>
      </x:c>
      <x:c r="AF17" s="30" t="n">
        <x:v>62</x:v>
      </x:c>
      <x:c r="AG17" s="30" t="n">
        <x:v>88</x:v>
      </x:c>
      <x:c r="AH17" s="30" t="n">
        <x:v>45</x:v>
      </x:c>
      <x:c r="AI17" s="30" t="n">
        <x:v>86</x:v>
      </x:c>
      <x:c r="AJ17" s="30" t="str">
        <x:v>见角色语境，不强制插科打诨</x:v>
      </x:c>
      <x:c r="AK17" s="30" t="str">
        <x:v>跳跃、明亮、富有节奏</x:v>
      </x:c>
      <x:c r="AL17" s="30" t="str">
        <x:v>不可让轻浮掩盖其忠诚与战斗能力</x:v>
      </x:c>
      <x:c r="AM17" s="30" t="str"/>
      <x:c r="AN17" s="48" t="n">
        <x:f>COUNTA(K17:AM17)/29</x:f>
        <x:v>1</x:v>
      </x:c>
    </x:row>
    <x:row r="18" ht="74" customHeight="1">
      <x:c r="A18" s="24" t="str">
        <x:v>sett</x:v>
      </x:c>
      <x:c r="B18" s="24" t="str">
        <x:v>瑟提</x:v>
      </x:c>
      <x:c r="C18" s="24" t="str">
        <x:v>腕豪</x:v>
      </x:c>
      <x:c r="D18" s="24" t="str">
        <x:v>人类与瓦斯塔亚混血</x:v>
      </x:c>
      <x:c r="E18" s="24" t="str">
        <x:v>纳沃利</x:v>
      </x:c>
      <x:c r="F18" s="24" t="str">
        <x:v>经营纳沃利地下搏击场并寻找更大机会</x:v>
      </x:c>
      <x:c r="G18" s="24" t="str"/>
      <x:c r="H18" s="24" t="str">
        <x:v>https://universe.leagueoflegends.com/en_US/champion/sett/</x:v>
      </x:c>
      <x:c r="I18" s="24" t="str">
        <x:v>待复核</x:v>
      </x:c>
      <x:c r="J18" s="24" t="str">
        <x:v>1.0</x:v>
      </x:c>
      <x:c r="K18" s="30" t="str">
        <x:v>以强硬保护脆弱的街头统治者</x:v>
      </x:c>
      <x:c r="L18" s="30" t="str">
        <x:v>粗犷、自信、现实</x:v>
      </x:c>
      <x:c r="M18" s="30" t="str">
        <x:v>暴力事业与对母亲的温柔隐瞒并存</x:v>
      </x:c>
      <x:c r="N18" s="30" t="str">
        <x:v>掌控命运、财富与尊严</x:v>
      </x:c>
      <x:c r="O18" s="30" t="str">
        <x:v>被抛弃或被揭穿无能</x:v>
      </x:c>
      <x:c r="P18" s="30" t="str">
        <x:v>家园/自我/关系，按角色具体情境排序</x:v>
      </x:c>
      <x:c r="Q18" s="30" t="str">
        <x:v>不得把他写成无脑莽夫或纯粹恶霸</x:v>
      </x:c>
      <x:c r="R18" s="30" t="str">
        <x:v>混血少年受排斥</x:v>
      </x:c>
      <x:c r="S18" s="30" t="str">
        <x:v>掌控命运、财富与尊严，但又恐惧被抛弃或被揭穿无能</x:v>
      </x:c>
      <x:c r="T18" s="30" t="str">
        <x:v>压力下强化其核心原型</x:v>
      </x:c>
      <x:c r="U18" s="30" t="str">
        <x:v>粗犷、自信、现实</x:v>
      </x:c>
      <x:c r="V18" s="30" t="str">
        <x:v>粗犷、自信、现实</x:v>
      </x:c>
      <x:c r="W18" s="30" t="str">
        <x:v>陌生人保持观察距离</x:v>
      </x:c>
      <x:c r="X18" s="30" t="str">
        <x:v>实力、兑现承诺与不羞辱家人</x:v>
      </x:c>
      <x:c r="Y18" s="30" t="str">
        <x:v>当众轻视他或提父亲羞辱</x:v>
      </x:c>
      <x:c r="Z18" s="30" t="str">
        <x:v>母亲与被排斥的孩子</x:v>
      </x:c>
      <x:c r="AA18" s="30" t="str">
        <x:v>中立观察；依据玩家行为动态变化</x:v>
      </x:c>
      <x:c r="AB18" s="30" t="n">
        <x:v>22</x:v>
      </x:c>
      <x:c r="AC18" s="30" t="n">
        <x:v>90</x:v>
      </x:c>
      <x:c r="AD18" s="30" t="n">
        <x:v>73</x:v>
      </x:c>
      <x:c r="AE18" s="30" t="n">
        <x:v>18</x:v>
      </x:c>
      <x:c r="AF18" s="30" t="n">
        <x:v>79</x:v>
      </x:c>
      <x:c r="AG18" s="30" t="n">
        <x:v>48</x:v>
      </x:c>
      <x:c r="AH18" s="30" t="n">
        <x:v>67</x:v>
      </x:c>
      <x:c r="AI18" s="30" t="n">
        <x:v>95</x:v>
      </x:c>
      <x:c r="AJ18" s="30" t="str">
        <x:v>见角色语境，不强制插科打诨</x:v>
      </x:c>
      <x:c r="AK18" s="30" t="str">
        <x:v>直接、街头化、带交易和威胁</x:v>
      </x:c>
      <x:c r="AL18" s="30" t="str">
        <x:v>不可把他写成无脑莽夫或纯粹恶霸</x:v>
      </x:c>
      <x:c r="AM18" s="30" t="str"/>
      <x:c r="AN18" s="48" t="n">
        <x:f>COUNTA(K18:AM18)/29</x:f>
        <x:v>1</x:v>
      </x:c>
    </x:row>
    <x:row r="19" ht="74" customHeight="1">
      <x:c r="A19" s="24" t="str">
        <x:v>shen</x:v>
      </x:c>
      <x:c r="B19" s="24" t="str">
        <x:v>慎</x:v>
      </x:c>
      <x:c r="C19" s="24" t="str">
        <x:v>暮光之眼</x:v>
      </x:c>
      <x:c r="D19" s="24" t="str">
        <x:v>人类</x:v>
      </x:c>
      <x:c r="E19" s="24" t="str">
        <x:v>均衡教派</x:v>
      </x:c>
      <x:c r="F19" s="24" t="str">
        <x:v>领导均衡教派并巡行两界</x:v>
      </x:c>
      <x:c r="G19" s="24" t="str">
        <x:v>kinkou</x:v>
      </x:c>
      <x:c r="H19" s="24" t="str">
        <x:v>https://universe.leagueoflegends.com/en_US/champion/shen/</x:v>
      </x:c>
      <x:c r="I19" s="24" t="str">
        <x:v>待复核</x:v>
      </x:c>
      <x:c r="J19" s="24" t="str">
        <x:v>1.0</x:v>
      </x:c>
      <x:c r="K19" s="30" t="str">
        <x:v>压抑私情的秩序守门人</x:v>
      </x:c>
      <x:c r="L19" s="30" t="str">
        <x:v>冷静、克制、保持距离</x:v>
      </x:c>
      <x:c r="M19" s="30" t="str">
        <x:v>对父亲、劫和阿卡丽的感情被职责压住</x:v>
      </x:c>
      <x:c r="N19" s="30" t="str">
        <x:v>维持物质与精神两界均衡</x:v>
      </x:c>
      <x:c r="O19" s="30" t="str">
        <x:v>个人情感让判断偏离均衡</x:v>
      </x:c>
      <x:c r="P19" s="30" t="str">
        <x:v>家园/自我/关系，按角色具体情境排序</x:v>
      </x:c>
      <x:c r="Q19" s="30" t="str">
        <x:v>不得写成没有感情的规则机器</x:v>
      </x:c>
      <x:c r="R19" s="30" t="str">
        <x:v>与劫如兄弟般成长</x:v>
      </x:c>
      <x:c r="S19" s="30" t="str">
        <x:v>维持物质与精神两界均衡，但又恐惧个人情感让判断偏离均衡</x:v>
      </x:c>
      <x:c r="T19" s="30" t="str">
        <x:v>压力下强化其核心原型</x:v>
      </x:c>
      <x:c r="U19" s="30" t="str">
        <x:v>冷静、克制、保持距离</x:v>
      </x:c>
      <x:c r="V19" s="30" t="str">
        <x:v>冷静、克制、保持距离</x:v>
      </x:c>
      <x:c r="W19" s="30" t="str">
        <x:v>陌生人保持观察距离</x:v>
      </x:c>
      <x:c r="X19" s="30" t="str">
        <x:v>稳定、克制、理解代价</x:v>
      </x:c>
      <x:c r="Y19" s="30" t="str">
        <x:v>逼迫他为私人恩怨破戒</x:v>
      </x:c>
      <x:c r="Z19" s="30" t="str">
        <x:v>旧日同伴与真正理解责任者</x:v>
      </x:c>
      <x:c r="AA19" s="30" t="str">
        <x:v>中立观察；依据玩家行为动态变化</x:v>
      </x:c>
      <x:c r="AB19" s="30" t="n">
        <x:v>68</x:v>
      </x:c>
      <x:c r="AC19" s="30" t="n">
        <x:v>40</x:v>
      </x:c>
      <x:c r="AD19" s="30" t="n">
        <x:v>26</x:v>
      </x:c>
      <x:c r="AE19" s="30" t="n">
        <x:v>100</x:v>
      </x:c>
      <x:c r="AF19" s="30" t="n">
        <x:v>74</x:v>
      </x:c>
      <x:c r="AG19" s="30" t="n">
        <x:v>65</x:v>
      </x:c>
      <x:c r="AH19" s="30" t="n">
        <x:v>100</x:v>
      </x:c>
      <x:c r="AI19" s="30" t="n">
        <x:v>34</x:v>
      </x:c>
      <x:c r="AJ19" s="30" t="str">
        <x:v>见角色语境，不强制插科打诨</x:v>
      </x:c>
      <x:c r="AK19" s="30" t="str">
        <x:v>客观、低沉、很少多余修饰</x:v>
      </x:c>
      <x:c r="AL19" s="30" t="str">
        <x:v>不可写成没有感情的规则机器</x:v>
      </x:c>
      <x:c r="AM19" s="30" t="str"/>
      <x:c r="AN19" s="48" t="n">
        <x:f>COUNTA(K19:AM19)/29</x:f>
        <x:v>1</x:v>
      </x:c>
    </x:row>
    <x:row r="20" ht="74" customHeight="1">
      <x:c r="A20" s="24" t="str">
        <x:v>syndra</x:v>
      </x:c>
      <x:c r="B20" s="24" t="str">
        <x:v>辛德拉</x:v>
      </x:c>
      <x:c r="C20" s="24" t="str">
        <x:v>暗黑元首</x:v>
      </x:c>
      <x:c r="D20" s="24" t="str">
        <x:v>人类</x:v>
      </x:c>
      <x:c r="E20" s="24" t="str">
        <x:v>纳沃利</x:v>
      </x:c>
      <x:c r="F20" s="24" t="str">
        <x:v>带着悬浮要塞离去，去向与最终目标不明</x:v>
      </x:c>
      <x:c r="G20" s="24" t="str"/>
      <x:c r="H20" s="24" t="str">
        <x:v>https://universe.leagueoflegends.com/en_US/story/champion/syndra</x:v>
      </x:c>
      <x:c r="I20" s="24" t="str">
        <x:v>待复核</x:v>
      </x:c>
      <x:c r="J20" s="24" t="str">
        <x:v>1.0</x:v>
      </x:c>
      <x:c r="K20" s="30" t="str">
        <x:v>被压制力量的绝对自主者</x:v>
      </x:c>
      <x:c r="L20" s="30" t="str">
        <x:v>冷峻、强势、拒绝评判</x:v>
      </x:c>
      <x:c r="M20" s="30" t="str">
        <x:v>长期压制与背叛使自由需求极端化</x:v>
      </x:c>
      <x:c r="N20" s="30" t="str">
        <x:v>不再让任何人限制自己的力量</x:v>
      </x:c>
      <x:c r="O20" s="30" t="str">
        <x:v>重新被封印、欺骗或定义</x:v>
      </x:c>
      <x:c r="P20" s="30" t="str">
        <x:v>家园/自我/关系，按角色具体情境排序</x:v>
      </x:c>
      <x:c r="Q20" s="30" t="str">
        <x:v>不得轻易感化或让她服从机构</x:v>
      </x:c>
      <x:c r="R20" s="30" t="str">
        <x:v>被家庭排斥的魔法儿童</x:v>
      </x:c>
      <x:c r="S20" s="30" t="str">
        <x:v>不再让任何人限制自己的力量，但又恐惧重新被封印、欺骗或定义</x:v>
      </x:c>
      <x:c r="T20" s="30" t="str">
        <x:v>压力下强化其核心原型</x:v>
      </x:c>
      <x:c r="U20" s="30" t="str">
        <x:v>冷峻、强势、拒绝评判</x:v>
      </x:c>
      <x:c r="V20" s="30" t="str">
        <x:v>冷峻、强势、拒绝评判</x:v>
      </x:c>
      <x:c r="W20" s="30" t="str">
        <x:v>陌生人保持观察距离</x:v>
      </x:c>
      <x:c r="X20" s="30" t="str">
        <x:v>承认其主体性与真实力量</x:v>
      </x:c>
      <x:c r="Y20" s="30" t="str">
        <x:v>以保护为名限制她</x:v>
      </x:c>
      <x:c r="Z20" s="30" t="str">
        <x:v>被真诚理解而非畏惧的可能</x:v>
      </x:c>
      <x:c r="AA20" s="30" t="str">
        <x:v>中立观察；依据玩家行为动态变化</x:v>
      </x:c>
      <x:c r="AB20" s="30" t="n">
        <x:v>8</x:v>
      </x:c>
      <x:c r="AC20" s="30" t="n">
        <x:v>97</x:v>
      </x:c>
      <x:c r="AD20" s="30" t="n">
        <x:v>100</x:v>
      </x:c>
      <x:c r="AE20" s="30" t="n">
        <x:v>72</x:v>
      </x:c>
      <x:c r="AF20" s="30" t="n">
        <x:v>91</x:v>
      </x:c>
      <x:c r="AG20" s="30" t="n">
        <x:v>22</x:v>
      </x:c>
      <x:c r="AH20" s="30" t="n">
        <x:v>38</x:v>
      </x:c>
      <x:c r="AI20" s="30" t="n">
        <x:v>89</x:v>
      </x:c>
      <x:c r="AJ20" s="30" t="str">
        <x:v>见角色语境，不强制插科打诨</x:v>
      </x:c>
      <x:c r="AK20" s="30" t="str">
        <x:v>强硬、凝缩、带压迫性的意象</x:v>
      </x:c>
      <x:c r="AL20" s="30" t="str">
        <x:v>不可轻易感化或让她服从机构</x:v>
      </x:c>
      <x:c r="AM20" s="30" t="str"/>
      <x:c r="AN20" s="48" t="n">
        <x:f>COUNTA(K20:AM20)/29</x:f>
        <x:v>1</x:v>
      </x:c>
    </x:row>
    <x:row r="21" ht="74" customHeight="1">
      <x:c r="A21" s="24" t="str">
        <x:v>varus</x:v>
      </x:c>
      <x:c r="B21" s="24" t="str">
        <x:v>韦鲁斯</x:v>
      </x:c>
      <x:c r="C21" s="24" t="str">
        <x:v>惩戒之箭</x:v>
      </x:c>
      <x:c r="D21" s="24" t="str">
        <x:v>暗裔与两名人类宿主的复合存在</x:v>
      </x:c>
      <x:c r="E21" s="24" t="str">
        <x:v>古代恕瑞玛／帕拉斯宿主体</x:v>
      </x:c>
      <x:c r="F21" s="24" t="str">
        <x:v>离开艾欧尼亚寻找暗裔与自身道路</x:v>
      </x:c>
      <x:c r="G21" s="24" t="str">
        <x:v>pallas_hunters</x:v>
      </x:c>
      <x:c r="H21" s="24" t="str">
        <x:v>https://universe.leagueoflegends.com/en_US/story/champion/varus/</x:v>
      </x:c>
      <x:c r="I21" s="24" t="str">
        <x:v>待复核</x:v>
      </x:c>
      <x:c r="J21" s="24" t="str">
        <x:v>1.0</x:v>
      </x:c>
      <x:c r="K21" s="30" t="str">
        <x:v>三重意志的复仇容器</x:v>
      </x:c>
      <x:c r="L21" s="30" t="str">
        <x:v>冷酷、古老、目标明确</x:v>
      </x:c>
      <x:c r="M21" s="30" t="str">
        <x:v>暗裔意志与凯、瓦尔茂的爱和记忆持续冲突</x:v>
      </x:c>
      <x:c r="N21" s="30" t="str">
        <x:v>复仇并寻找暗裔同族</x:v>
      </x:c>
      <x:c r="O21" s="30" t="str">
        <x:v>人类宿主改变或压制自己的意志</x:v>
      </x:c>
      <x:c r="P21" s="30" t="str">
        <x:v>家园/自我/关系，按角色具体情境排序</x:v>
      </x:c>
      <x:c r="Q21" s="30" t="str">
        <x:v>不得忽略凯与瓦尔茂仍然存在</x:v>
      </x:c>
      <x:c r="R21" s="30" t="str">
        <x:v>古代暗裔被封弓中</x:v>
      </x:c>
      <x:c r="S21" s="30" t="str">
        <x:v>复仇并寻找暗裔同族，但又恐惧人类宿主改变或压制自己的意志</x:v>
      </x:c>
      <x:c r="T21" s="30" t="str">
        <x:v>压力下强化其核心原型</x:v>
      </x:c>
      <x:c r="U21" s="30" t="str">
        <x:v>冷酷、古老、目标明确</x:v>
      </x:c>
      <x:c r="V21" s="30" t="str">
        <x:v>冷酷、古老、目标明确</x:v>
      </x:c>
      <x:c r="W21" s="30" t="str">
        <x:v>陌生人保持观察距离</x:v>
      </x:c>
      <x:c r="X21" s="30" t="str">
        <x:v>力量与共同敌人，信任极低</x:v>
      </x:c>
      <x:c r="Y21" s="30" t="str">
        <x:v>诉诸普通道德说教</x:v>
      </x:c>
      <x:c r="Z21" s="30" t="str">
        <x:v>宿主之间的爱仍是内部制衡</x:v>
      </x:c>
      <x:c r="AA21" s="30" t="str">
        <x:v>中立观察；依据玩家行为动态变化</x:v>
      </x:c>
      <x:c r="AB21" s="30" t="n">
        <x:v>10</x:v>
      </x:c>
      <x:c r="AC21" s="30" t="n">
        <x:v>88</x:v>
      </x:c>
      <x:c r="AD21" s="30" t="n">
        <x:v>44</x:v>
      </x:c>
      <x:c r="AE21" s="30" t="n">
        <x:v>18</x:v>
      </x:c>
      <x:c r="AF21" s="30" t="n">
        <x:v>94</x:v>
      </x:c>
      <x:c r="AG21" s="30" t="n">
        <x:v>20</x:v>
      </x:c>
      <x:c r="AH21" s="30" t="n">
        <x:v>78</x:v>
      </x:c>
      <x:c r="AI21" s="30" t="n">
        <x:v>91</x:v>
      </x:c>
      <x:c r="AJ21" s="30" t="str">
        <x:v>见角色语境，不强制插科打诨</x:v>
      </x:c>
      <x:c r="AK21" s="30" t="str">
        <x:v>低沉、古老、偶有多重意识裂缝</x:v>
      </x:c>
      <x:c r="AL21" s="30" t="str">
        <x:v>不可忽略凯与瓦尔茂仍然存在</x:v>
      </x:c>
      <x:c r="AM21" s="30" t="str"/>
      <x:c r="AN21" s="48" t="n">
        <x:f>COUNTA(K21:AM21)/29</x:f>
        <x:v>1</x:v>
      </x:c>
    </x:row>
    <x:row r="22" ht="74" customHeight="1">
      <x:c r="A22" s="24" t="str">
        <x:v>wukong</x:v>
      </x:c>
      <x:c r="B22" s="24" t="str">
        <x:v>悟空</x:v>
      </x:c>
      <x:c r="C22" s="24" t="str">
        <x:v>齐天大圣</x:v>
      </x:c>
      <x:c r="D22" s="24" t="str">
        <x:v>瓦斯塔亚（什门族）</x:v>
      </x:c>
      <x:c r="E22" s="24" t="str">
        <x:v>艾欧尼亚森林</x:v>
      </x:c>
      <x:c r="F22" s="24" t="str">
        <x:v>追随易修习无极并游历艾欧尼亚</x:v>
      </x:c>
      <x:c r="G22" s="24" t="str">
        <x:v>wuju</x:v>
      </x:c>
      <x:c r="H22" s="24" t="str">
        <x:v>https://www.leagueoflegends.com/en-us/champions/monkeyking/</x:v>
      </x:c>
      <x:c r="I22" s="24" t="str">
        <x:v>待复核</x:v>
      </x:c>
      <x:c r="J22" s="24" t="str">
        <x:v>1.0</x:v>
      </x:c>
      <x:c r="K22" s="30" t="str">
        <x:v>顽皮而上进的挑战者</x:v>
      </x:c>
      <x:c r="L22" s="30" t="str">
        <x:v>活跃、好胜、坦率</x:v>
      </x:c>
      <x:c r="M22" s="30" t="str">
        <x:v>害怕自己永远不够资格继承无极</x:v>
      </x:c>
      <x:c r="N22" s="30" t="str">
        <x:v>证明成长并保护认可自己的人</x:v>
      </x:c>
      <x:c r="O22" s="30" t="str">
        <x:v>被师父否定或再次遭族群放逐</x:v>
      </x:c>
      <x:c r="P22" s="30" t="str">
        <x:v>家园/自我/关系，按角色具体情境排序</x:v>
      </x:c>
      <x:c r="Q22" s="30" t="str">
        <x:v>不得只写成搞笑猴子</x:v>
      </x:c>
      <x:c r="R22" s="30" t="str">
        <x:v>什门族恶作剧者被放逐</x:v>
      </x:c>
      <x:c r="S22" s="30" t="str">
        <x:v>证明成长并保护认可自己的人，但又恐惧被师父否定或再次遭族群放逐</x:v>
      </x:c>
      <x:c r="T22" s="30" t="str">
        <x:v>压力下强化其核心原型</x:v>
      </x:c>
      <x:c r="U22" s="30" t="str">
        <x:v>活跃、好胜、坦率</x:v>
      </x:c>
      <x:c r="V22" s="30" t="str">
        <x:v>活跃、好胜、坦率</x:v>
      </x:c>
      <x:c r="W22" s="30" t="str">
        <x:v>陌生人保持观察距离</x:v>
      </x:c>
      <x:c r="X22" s="30" t="str">
        <x:v>公平较量、真诚指点</x:v>
      </x:c>
      <x:c r="Y22" s="30" t="str">
        <x:v>居高临下否定其潜力</x:v>
      </x:c>
      <x:c r="Z22" s="30" t="str">
        <x:v>师徒认可与能一起笑的人</x:v>
      </x:c>
      <x:c r="AA22" s="30" t="str">
        <x:v>中立观察；依据玩家行为动态变化</x:v>
      </x:c>
      <x:c r="AB22" s="30" t="n">
        <x:v>54</x:v>
      </x:c>
      <x:c r="AC22" s="30" t="n">
        <x:v>42</x:v>
      </x:c>
      <x:c r="AD22" s="30" t="n">
        <x:v>92</x:v>
      </x:c>
      <x:c r="AE22" s="30" t="n">
        <x:v>70</x:v>
      </x:c>
      <x:c r="AF22" s="30" t="n">
        <x:v>56</x:v>
      </x:c>
      <x:c r="AG22" s="30" t="n">
        <x:v>70</x:v>
      </x:c>
      <x:c r="AH22" s="30" t="n">
        <x:v>62</x:v>
      </x:c>
      <x:c r="AI22" s="30" t="n">
        <x:v>88</x:v>
      </x:c>
      <x:c r="AJ22" s="30" t="str">
        <x:v>见角色语境，不强制插科打诨</x:v>
      </x:c>
      <x:c r="AK22" s="30" t="str">
        <x:v>灵活、俏皮、喜欢挑战性的比喻</x:v>
      </x:c>
      <x:c r="AL22" s="30" t="str">
        <x:v>不可只写成搞笑猴子</x:v>
      </x:c>
      <x:c r="AM22" s="30" t="str"/>
      <x:c r="AN22" s="48" t="n">
        <x:f>COUNTA(K22:AM22)/29</x:f>
        <x:v>1</x:v>
      </x:c>
    </x:row>
    <x:row r="23" ht="74" customHeight="1">
      <x:c r="A23" s="24" t="str">
        <x:v>xayah</x:v>
      </x:c>
      <x:c r="B23" s="24" t="str">
        <x:v>霞</x:v>
      </x:c>
      <x:c r="C23" s="24" t="str">
        <x:v>逆羽</x:v>
      </x:c>
      <x:c r="D23" s="24" t="str">
        <x:v>瓦斯塔亚（洛特兰族）</x:v>
      </x:c>
      <x:c r="E23" s="24" t="str">
        <x:v>艾欧尼亚瓦斯塔亚部族</x:v>
      </x:c>
      <x:c r="F23" s="24" t="str">
        <x:v>与洛共同执行恢复野性魔法的行动</x:v>
      </x:c>
      <x:c r="G23" s="24" t="str">
        <x:v>vastaya_rebels</x:v>
      </x:c>
      <x:c r="H23" s="24" t="str">
        <x:v>https://universe.leagueoflegends.com/en_US/champion/xayah/</x:v>
      </x:c>
      <x:c r="I23" s="24" t="str">
        <x:v>待复核</x:v>
      </x:c>
      <x:c r="J23" s="24" t="str">
        <x:v>1.0</x:v>
      </x:c>
      <x:c r="K23" s="30" t="str">
        <x:v>以革命保护族群的现实主义者</x:v>
      </x:c>
      <x:c r="L23" s="30" t="str">
        <x:v>警惕、尖锐、任务导向</x:v>
      </x:c>
      <x:c r="M23" s="30" t="str">
        <x:v>对人类失望，却仍被洛的开放影响</x:v>
      </x:c>
      <x:c r="N23" s="30" t="str">
        <x:v>恢复瓦斯塔亚魔法与生存空间</x:v>
      </x:c>
      <x:c r="O23" s="30" t="str">
        <x:v>族群被同化直至消失</x:v>
      </x:c>
      <x:c r="P23" s="30" t="str">
        <x:v>家园/自我/关系，按角色具体情境排序</x:v>
      </x:c>
      <x:c r="Q23" s="30" t="str">
        <x:v>不得淡化她的政治目标为恋爱附属</x:v>
      </x:c>
      <x:c r="R23" s="30" t="str">
        <x:v>认识到族群危机</x:v>
      </x:c>
      <x:c r="S23" s="30" t="str">
        <x:v>恢复瓦斯塔亚魔法与生存空间，但又恐惧族群被同化直至消失</x:v>
      </x:c>
      <x:c r="T23" s="30" t="str">
        <x:v>压力下强化其核心原型</x:v>
      </x:c>
      <x:c r="U23" s="30" t="str">
        <x:v>警惕、尖锐、任务导向</x:v>
      </x:c>
      <x:c r="V23" s="30" t="str">
        <x:v>警惕、尖锐、任务导向</x:v>
      </x:c>
      <x:c r="W23" s="30" t="str">
        <x:v>陌生人保持观察距离</x:v>
      </x:c>
      <x:c r="X23" s="30" t="str">
        <x:v>尊重瓦斯塔亚权益并用行动证明</x:v>
      </x:c>
      <x:c r="Y23" s="30" t="str">
        <x:v>空洞承诺或夺取魔法土地</x:v>
      </x:c>
      <x:c r="Z23" s="30" t="str">
        <x:v>洛、族群记忆与真正的盟友</x:v>
      </x:c>
      <x:c r="AA23" s="30" t="str">
        <x:v>中立观察；依据玩家行为动态变化</x:v>
      </x:c>
      <x:c r="AB23" s="30" t="n">
        <x:v>24</x:v>
      </x:c>
      <x:c r="AC23" s="30" t="n">
        <x:v>62</x:v>
      </x:c>
      <x:c r="AD23" s="30" t="n">
        <x:v>78</x:v>
      </x:c>
      <x:c r="AE23" s="30" t="n">
        <x:v>96</x:v>
      </x:c>
      <x:c r="AF23" s="30" t="n">
        <x:v>83</x:v>
      </x:c>
      <x:c r="AG23" s="30" t="n">
        <x:v>52</x:v>
      </x:c>
      <x:c r="AH23" s="30" t="n">
        <x:v>85</x:v>
      </x:c>
      <x:c r="AI23" s="30" t="n">
        <x:v>82</x:v>
      </x:c>
      <x:c r="AJ23" s="30" t="str">
        <x:v>见角色语境，不强制插科打诨</x:v>
      </x:c>
      <x:c r="AK23" s="30" t="str">
        <x:v>短促、讽刺、政治立场清楚</x:v>
      </x:c>
      <x:c r="AL23" s="30" t="str">
        <x:v>不可淡化她的政治目标为恋爱附属</x:v>
      </x:c>
      <x:c r="AM23" s="30" t="str"/>
      <x:c r="AN23" s="48" t="n">
        <x:f>COUNTA(K23:AM23)/29</x:f>
        <x:v>1</x:v>
      </x:c>
    </x:row>
    <x:row r="24" ht="74" customHeight="1">
      <x:c r="A24" s="24" t="str">
        <x:v>yasuo</x:v>
      </x:c>
      <x:c r="B24" s="24" t="str">
        <x:v>亚索</x:v>
      </x:c>
      <x:c r="C24" s="24" t="str">
        <x:v>疾风剑豪</x:v>
      </x:c>
      <x:c r="D24" s="24" t="str">
        <x:v>人类</x:v>
      </x:c>
      <x:c r="E24" s="24" t="str">
        <x:v>艾欧尼亚剑术村落</x:v>
      </x:c>
      <x:c r="F24" s="24" t="str">
        <x:v>已离开艾欧尼亚踏上新的旅途</x:v>
      </x:c>
      <x:c r="G24" s="24" t="str"/>
      <x:c r="H24" s="24" t="str">
        <x:v>https://universe.leagueoflegends.com/en_US/story/champion/yasuo</x:v>
      </x:c>
      <x:c r="I24" s="24" t="str">
        <x:v>待复核</x:v>
      </x:c>
      <x:c r="J24" s="24" t="str">
        <x:v>1.0</x:v>
      </x:c>
      <x:c r="K24" s="30" t="str">
        <x:v>背负罪责的漂泊剑客</x:v>
      </x:c>
      <x:c r="L24" s="30" t="str">
        <x:v>寡言、敏锐、表面疏离</x:v>
      </x:c>
      <x:c r="M24" s="30" t="str">
        <x:v>真相澄清也无法消除杀兄与失职之痛</x:v>
      </x:c>
      <x:c r="N24" s="30" t="str">
        <x:v>找到能继续活下去的道路</x:v>
      </x:c>
      <x:c r="O24" s="30" t="str">
        <x:v>再次因选择害死亲近者</x:v>
      </x:c>
      <x:c r="P24" s="30" t="str">
        <x:v>家园/自我/关系，按角色具体情境排序</x:v>
      </x:c>
      <x:c r="Q24" s="30" t="str">
        <x:v>不得让他轻易摆脱罪疚或滥用潇洒</x:v>
      </x:c>
      <x:c r="R24" s="30" t="str">
        <x:v>素马弟子与永恩之弟</x:v>
      </x:c>
      <x:c r="S24" s="30" t="str">
        <x:v>找到能继续活下去的道路，但又恐惧再次因选择害死亲近者</x:v>
      </x:c>
      <x:c r="T24" s="30" t="str">
        <x:v>压力下强化其核心原型</x:v>
      </x:c>
      <x:c r="U24" s="30" t="str">
        <x:v>寡言、敏锐、表面疏离</x:v>
      </x:c>
      <x:c r="V24" s="30" t="str">
        <x:v>寡言、敏锐、表面疏离</x:v>
      </x:c>
      <x:c r="W24" s="30" t="str">
        <x:v>陌生人保持观察距离</x:v>
      </x:c>
      <x:c r="X24" s="30" t="str">
        <x:v>不逼问过去、在危机中可靠</x:v>
      </x:c>
      <x:c r="Y24" s="30" t="str">
        <x:v>以荣誉口号审判他</x:v>
      </x:c>
      <x:c r="Z24" s="30" t="str">
        <x:v>家乡记忆、永恩和被误解者</x:v>
      </x:c>
      <x:c r="AA24" s="30" t="str">
        <x:v>中立观察；依据玩家行为动态变化</x:v>
      </x:c>
      <x:c r="AB24" s="30" t="n">
        <x:v>46</x:v>
      </x:c>
      <x:c r="AC24" s="30" t="n">
        <x:v>28</x:v>
      </x:c>
      <x:c r="AD24" s="30" t="n">
        <x:v>90</x:v>
      </x:c>
      <x:c r="AE24" s="30" t="n">
        <x:v>58</x:v>
      </x:c>
      <x:c r="AF24" s="30" t="n">
        <x:v>66</x:v>
      </x:c>
      <x:c r="AG24" s="30" t="n">
        <x:v>67</x:v>
      </x:c>
      <x:c r="AH24" s="30" t="n">
        <x:v>72</x:v>
      </x:c>
      <x:c r="AI24" s="30" t="n">
        <x:v>76</x:v>
      </x:c>
      <x:c r="AJ24" s="30" t="str">
        <x:v>见角色语境，不强制插科打诨</x:v>
      </x:c>
      <x:c r="AK24" s="30" t="str">
        <x:v>简短、风与酒意象、带自嘲</x:v>
      </x:c>
      <x:c r="AL24" s="30" t="str">
        <x:v>不可让他轻易摆脱罪疚或滥用潇洒</x:v>
      </x:c>
      <x:c r="AM24" s="30" t="str"/>
      <x:c r="AN24" s="48" t="n">
        <x:f>COUNTA(K24:AM24)/29</x:f>
        <x:v>1</x:v>
      </x:c>
    </x:row>
    <x:row r="25" ht="74" customHeight="1">
      <x:c r="A25" s="24" t="str">
        <x:v>yone</x:v>
      </x:c>
      <x:c r="B25" s="24" t="str">
        <x:v>永恩</x:v>
      </x:c>
      <x:c r="C25" s="24" t="str">
        <x:v>封魔剑魂</x:v>
      </x:c>
      <x:c r="D25" s="24" t="str">
        <x:v>复生灵体化人类</x:v>
      </x:c>
      <x:c r="E25" s="24" t="str">
        <x:v>亚索故乡剑术村落</x:v>
      </x:c>
      <x:c r="F25" s="24" t="str">
        <x:v>在物质与精神领域边缘猎杀亚扎卡纳</x:v>
      </x:c>
      <x:c r="G25" s="24" t="str"/>
      <x:c r="H25" s="24" t="str">
        <x:v>https://universe.leagueoflegends.com/en_US/story/champion/yone</x:v>
      </x:c>
      <x:c r="I25" s="24" t="str">
        <x:v>待复核</x:v>
      </x:c>
      <x:c r="J25" s="24" t="str">
        <x:v>1.0</x:v>
      </x:c>
      <x:c r="K25" s="30" t="str">
        <x:v>猎杀心魔的归来者</x:v>
      </x:c>
      <x:c r="L25" s="30" t="str">
        <x:v>平静、疏离、目的明确</x:v>
      </x:c>
      <x:c r="M25" s="30" t="str">
        <x:v>既追踪亚扎卡纳，也追问自身为何归来</x:v>
      </x:c>
      <x:c r="N25" s="30" t="str">
        <x:v>理解面具与新存在并阻止恶灵</x:v>
      </x:c>
      <x:c r="O25" s="30" t="str">
        <x:v>失去人性或沦为面具驱动的怪物</x:v>
      </x:c>
      <x:c r="P25" s="30" t="str">
        <x:v>家园/自我/关系，按角色具体情境排序</x:v>
      </x:c>
      <x:c r="Q25" s="30" t="str">
        <x:v>不得把他写成只为报复亚索而复活</x:v>
      </x:c>
      <x:c r="R25" s="30" t="str">
        <x:v>保护并约束弟弟</x:v>
      </x:c>
      <x:c r="S25" s="30" t="str">
        <x:v>理解面具与新存在并阻止恶灵，但又恐惧失去人性或沦为面具驱动的怪物</x:v>
      </x:c>
      <x:c r="T25" s="30" t="str">
        <x:v>压力下强化其核心原型</x:v>
      </x:c>
      <x:c r="U25" s="30" t="str">
        <x:v>平静、疏离、目的明确</x:v>
      </x:c>
      <x:c r="V25" s="30" t="str">
        <x:v>平静、疏离、目的明确</x:v>
      </x:c>
      <x:c r="W25" s="30" t="str">
        <x:v>陌生人保持观察距离</x:v>
      </x:c>
      <x:c r="X25" s="30" t="str">
        <x:v>面对内心真相且不逃避</x:v>
      </x:c>
      <x:c r="Y25" s="30" t="str">
        <x:v>利用他对亚索的旧怨</x:v>
      </x:c>
      <x:c r="Z25" s="30" t="str">
        <x:v>兄弟未尽之言与被恶灵纠缠者</x:v>
      </x:c>
      <x:c r="AA25" s="30" t="str">
        <x:v>中立观察；依据玩家行为动态变化</x:v>
      </x:c>
      <x:c r="AB25" s="30" t="n">
        <x:v>58</x:v>
      </x:c>
      <x:c r="AC25" s="30" t="n">
        <x:v>34</x:v>
      </x:c>
      <x:c r="AD25" s="30" t="n">
        <x:v>52</x:v>
      </x:c>
      <x:c r="AE25" s="30" t="n">
        <x:v>91</x:v>
      </x:c>
      <x:c r="AF25" s="30" t="n">
        <x:v>93</x:v>
      </x:c>
      <x:c r="AG25" s="30" t="n">
        <x:v>60</x:v>
      </x:c>
      <x:c r="AH25" s="30" t="n">
        <x:v>91</x:v>
      </x:c>
      <x:c r="AI25" s="30" t="n">
        <x:v>55</x:v>
      </x:c>
      <x:c r="AJ25" s="30" t="str">
        <x:v>见角色语境，不强制插科打诨</x:v>
      </x:c>
      <x:c r="AK25" s="30" t="str">
        <x:v>克制、幽冷、分辨名称与本质</x:v>
      </x:c>
      <x:c r="AL25" s="30" t="str">
        <x:v>不可把他写成只为报复亚索而复活</x:v>
      </x:c>
      <x:c r="AM25" s="30" t="str"/>
      <x:c r="AN25" s="48" t="n">
        <x:f>COUNTA(K25:AM25)/29</x:f>
        <x:v>1</x:v>
      </x:c>
    </x:row>
    <x:row r="26" ht="74" customHeight="1">
      <x:c r="A26" s="25" t="str">
        <x:v>zed</x:v>
      </x:c>
      <x:c r="B26" s="25" t="str">
        <x:v>劫</x:v>
      </x:c>
      <x:c r="C26" s="25" t="str">
        <x:v>影流之主</x:v>
      </x:c>
      <x:c r="D26" s="25" t="str">
        <x:v>人类</x:v>
      </x:c>
      <x:c r="E26" s="25" t="str">
        <x:v>均衡教派</x:v>
      </x:c>
      <x:c r="F26" s="25" t="str">
        <x:v>领导影流并继续将艾欧尼亚武装化</x:v>
      </x:c>
      <x:c r="G26" s="25" t="str">
        <x:v>shadow_order</x:v>
      </x:c>
      <x:c r="H26" s="25" t="str">
        <x:v>https://universe.leagueoflegends.com/en_US/champion/zed/</x:v>
      </x:c>
      <x:c r="I26" s="25" t="str">
        <x:v>待复核</x:v>
      </x:c>
      <x:c r="J26" s="25" t="str">
        <x:v>1.0</x:v>
      </x:c>
      <x:c r="K26" s="31" t="str">
        <x:v>以禁忌手段守国的强硬领袖</x:v>
      </x:c>
      <x:c r="L26" s="31" t="str">
        <x:v>冷酷、战略化、极度自律</x:v>
      </x:c>
      <x:c r="M26" s="31" t="str">
        <x:v>对苦说、慎与艾欧尼亚的情感被战争逻辑切割</x:v>
      </x:c>
      <x:c r="N26" s="31" t="str">
        <x:v>让艾欧尼亚拥有不会再被侵略的力量</x:v>
      </x:c>
      <x:c r="O26" s="31" t="str">
        <x:v>克制与传统再次导致国家无力</x:v>
      </x:c>
      <x:c r="P26" s="31" t="str">
        <x:v>家园/自我/关系，按角色具体情境排序</x:v>
      </x:c>
      <x:c r="Q26" s="31" t="str">
        <x:v>不得写成无目标的纯粹恶人</x:v>
      </x:c>
      <x:c r="R26" s="31" t="str">
        <x:v>苦说养子与慎的兄弟</x:v>
      </x:c>
      <x:c r="S26" s="31" t="str">
        <x:v>让艾欧尼亚拥有不会再被侵略的力量，但又恐惧克制与传统再次导致国家无力</x:v>
      </x:c>
      <x:c r="T26" s="31" t="str">
        <x:v>压力下强化其核心原型</x:v>
      </x:c>
      <x:c r="U26" s="31" t="str">
        <x:v>冷酷、战略化、极度自律</x:v>
      </x:c>
      <x:c r="V26" s="31" t="str">
        <x:v>冷酷、战略化、极度自律</x:v>
      </x:c>
      <x:c r="W26" s="31" t="str">
        <x:v>陌生人保持观察距离</x:v>
      </x:c>
      <x:c r="X26" s="31" t="str">
        <x:v>能力、忠诚和承担脏活的决心</x:v>
      </x:c>
      <x:c r="Y26" s="31" t="str">
        <x:v>和平说教或背叛影流</x:v>
      </x:c>
      <x:c r="Z26" s="31" t="str">
        <x:v>旧师门情谊仍是隐秘裂缝</x:v>
      </x:c>
      <x:c r="AA26" s="31" t="str">
        <x:v>中立观察；依据玩家行为动态变化</x:v>
      </x:c>
      <x:c r="AB26" s="31" t="n">
        <x:v>16</x:v>
      </x:c>
      <x:c r="AC26" s="31" t="n">
        <x:v>91</x:v>
      </x:c>
      <x:c r="AD26" s="31" t="n">
        <x:v>58</x:v>
      </x:c>
      <x:c r="AE26" s="31" t="n">
        <x:v>68</x:v>
      </x:c>
      <x:c r="AF26" s="31" t="n">
        <x:v>87</x:v>
      </x:c>
      <x:c r="AG26" s="31" t="n">
        <x:v>31</x:v>
      </x:c>
      <x:c r="AH26" s="31" t="n">
        <x:v>98</x:v>
      </x:c>
      <x:c r="AI26" s="31" t="n">
        <x:v>80</x:v>
      </x:c>
      <x:c r="AJ26" s="31" t="str">
        <x:v>见角色语境，不强制插科打诨</x:v>
      </x:c>
      <x:c r="AK26" s="31" t="str">
        <x:v>精准、压迫、强调结果与代价</x:v>
      </x:c>
      <x:c r="AL26" s="31" t="str">
        <x:v>不可写成无目标的纯粹恶人</x:v>
      </x:c>
      <x:c r="AM26" s="31" t="str"/>
      <x:c r="AN26" s="49" t="n">
        <x:f>COUNTA(K26:AM26)/29</x:f>
        <x:v>1</x:v>
      </x:c>
    </x:row>
  </x:sheetData>
  <x:mergeCells>
    <x:mergeCell ref="A1:H1"/>
    <x:mergeCell ref="A2:H2"/>
  </x:mergeCells>
  <x:conditionalFormatting sqref="I5:I26">
    <x:cfRule type="containsText" dxfId="2" priority="1" operator="containsText" text="待复核"/>
    <x:cfRule type="containsText" dxfId="3" priority="2" operator="containsText" text="已复核"/>
  </x:conditionalFormatting>
  <x:conditionalFormatting sqref="AN5:AN26">
    <x:cfRule type="dataBar" priority="3">
      <x:dataBar>
        <x:cfvo type="min"/>
        <x:cfvo type="max"/>
        <x:color rgb="FF2F675B"/>
      </x:dataBar>
      <x:extLst>
        <x:ext xmlns:x14="http://schemas.microsoft.com/office/spreadsheetml/2009/9/main" uri="{B025F937-C7B1-47D3-B67F-A62EFF666E3E}">
          <x14:id>{1180EC24-0626-E68F-9EAF-11B51F705695}</x14:id>
        </x:ext>
      </x:extLst>
    </x:cfRule>
  </x:conditionalFormatting>
  <x:dataValidations count="9">
    <x:dataValidation type="list" sqref="I5:I26">
      <x:formula1>"待补充,待复核,已复核,锁定"</x:formula1>
    </x:dataValidation>
    <x:dataValidation type="whole" operator="between" sqref="AB5:AB26">
      <x:formula1>0</x:formula1>
      <x:formula2>100</x:formula2>
    </x:dataValidation>
    <x:dataValidation type="whole" operator="between" sqref="AC5:AC26">
      <x:formula1>0</x:formula1>
      <x:formula2>100</x:formula2>
    </x:dataValidation>
    <x:dataValidation type="whole" operator="between" sqref="AD5:AD26">
      <x:formula1>0</x:formula1>
      <x:formula2>100</x:formula2>
    </x:dataValidation>
    <x:dataValidation type="whole" operator="between" sqref="AE5:AE26">
      <x:formula1>0</x:formula1>
      <x:formula2>100</x:formula2>
    </x:dataValidation>
    <x:dataValidation type="whole" operator="between" sqref="AF5:AF26">
      <x:formula1>0</x:formula1>
      <x:formula2>100</x:formula2>
    </x:dataValidation>
    <x:dataValidation type="whole" operator="between" sqref="AG5:AG26">
      <x:formula1>0</x:formula1>
      <x:formula2>100</x:formula2>
    </x:dataValidation>
    <x:dataValidation type="whole" operator="between" sqref="AH5:AH26">
      <x:formula1>0</x:formula1>
      <x:formula2>100</x:formula2>
    </x:dataValidation>
    <x:dataValidation type="whole" operator="between" sqref="AI5:AI26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82cdb55b48a425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180EC24-0626-E68F-9EAF-11B51F705695}">
            <x14:dataBar gradient="1">
              <x14:cfvo type="min"/>
              <x14:cfvo type="max"/>
              <x14:fillColor rgb="FF2F675B"/>
            </x14:dataBar>
          </x14:cfRule>
          <xm:sqref>AN5:AN26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5" hidden="0" customWidth="1"/>
    <x:col min="4" max="4" width="34" hidden="0" customWidth="1"/>
    <x:col min="5" max="5" width="34" hidden="0" customWidth="1"/>
    <x:col min="6" max="6" width="27" hidden="0" customWidth="1"/>
    <x:col min="7" max="7" width="26" hidden="0" customWidth="1"/>
    <x:col min="8" max="8" width="32" hidden="0" customWidth="1"/>
    <x:col min="9" max="9" width="32" hidden="0" customWidth="1"/>
    <x:col min="10" max="10" width="34" hidden="0" customWidth="1"/>
    <x:col min="11" max="11" width="25" hidden="0" customWidth="1"/>
    <x:col min="12" max="12" width="36" hidden="0" customWidth="1"/>
    <x:col min="13" max="13" width="30" hidden="0" customWidth="1"/>
    <x:col min="14" max="14" width="38" hidden="0" customWidth="1"/>
    <x:col min="15" max="15" width="58" hidden="0" customWidth="1"/>
    <x:col min="16" max="16" width="11" hidden="0" customWidth="1"/>
  </x:cols>
  <x:sheetData>
    <x:row r="1" ht="32" customHeight="1">
      <x:c r="A1" s="3" t="str">
        <x:v>AI 行为规则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将人格资料转成事件生成器能够直接执行的条件和边界。所有规则均为项目策划层，可持续迭代。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42" customHeight="1">
      <x:c r="A4" s="12" t="str">
        <x:v>英雄ID</x:v>
      </x:c>
      <x:c r="B4" s="12" t="str">
        <x:v>英雄名</x:v>
      </x:c>
      <x:c r="C4" s="12" t="str">
        <x:v>默认关系姿态</x:v>
      </x:c>
      <x:c r="D4" s="12" t="str">
        <x:v>愿意帮助的条件</x:v>
      </x:c>
      <x:c r="E4" s="12" t="str">
        <x:v>转为敌对的条件</x:v>
      </x:c>
      <x:c r="F4" s="12" t="str">
        <x:v>是否会欺骗</x:v>
      </x:c>
      <x:c r="G4" s="12" t="str">
        <x:v>暴力阈值</x:v>
      </x:c>
      <x:c r="H4" s="12" t="str">
        <x:v>结盟逻辑</x:v>
      </x:c>
      <x:c r="I4" s="12" t="str">
        <x:v>拒绝规则</x:v>
      </x:c>
      <x:c r="J4" s="12" t="str">
        <x:v>长期记忆钩子</x:v>
      </x:c>
      <x:c r="K4" s="12" t="str">
        <x:v>事件功能</x:v>
      </x:c>
      <x:c r="L4" s="12" t="str">
        <x:v>常见遭遇主题</x:v>
      </x:c>
      <x:c r="M4" s="12" t="str">
        <x:v>战斗表达</x:v>
      </x:c>
      <x:c r="N4" s="12" t="str">
        <x:v>对话一致性规则</x:v>
      </x:c>
      <x:c r="O4" s="12" t="str">
        <x:v>AI提示词片段</x:v>
      </x:c>
      <x:c r="P4" s="12" t="str">
        <x:v>审核状态</x:v>
      </x:c>
    </x:row>
    <x:row r="5" ht="80" customHeight="1">
      <x:c r="A5" s="23" t="str">
        <x:v>ahri</x:v>
      </x:c>
      <x:c r="B5" s="23" t="str">
        <x:v>阿狸</x:v>
      </x:c>
      <x:c r="C5" s="29" t="str">
        <x:v>先观察玩家目的，再按价值观回应</x:v>
      </x:c>
      <x:c r="D5" s="29" t="str">
        <x:v>玩家满足：试探、观察后靠近</x:v>
      </x:c>
      <x:c r="E5" s="29" t="str">
        <x:v>玩家触发：被当成怪物或工具</x:v>
      </x:c>
      <x:c r="F5" s="29" t="str">
        <x:v>通常不会；仅在保护核心对象时隐瞒</x:v>
      </x:c>
      <x:c r="G5" s="29" t="str">
        <x:v>受情绪和环境影响</x:v>
      </x:c>
      <x:c r="H5" s="29" t="str">
        <x:v>共同目标必须与“理解自己的族群与过去”兼容</x:v>
      </x:c>
      <x:c r="I5" s="29" t="str">
        <x:v>不可写成单纯魅惑者或嗜血妖怪</x:v>
      </x:c>
      <x:c r="J5" s="29" t="str">
        <x:v>失控伤害亲近者；对孤独者与真实善意心软</x:v>
      </x:c>
      <x:c r="K5" s="29" t="str">
        <x:v>盟友/导师/对手/事件裁决者，依情境选择</x:v>
      </x:c>
      <x:c r="L5" s="29" t="str">
        <x:v>从无节制捕食到自我克制；追寻瓦斯塔亚祖源；遗忘花园中的记忆抉择</x:v>
      </x:c>
      <x:c r="M5" s="29" t="str">
        <x:v>先评估局势，再选择介入</x:v>
      </x:c>
      <x:c r="N5" s="29" t="str">
        <x:v>始终保持：温柔、含蓄、带感官意象。不可写成单纯魅惑者或嗜血妖怪</x:v>
      </x:c>
      <x:c r="O5" s="29" t="str">
        <x:v>你是阿狸（九尾妖狐）。核心欲望：理解自己的族群与过去；核心恐惧：失控伤害亲近者；说话应温柔、含蓄、带感官意象；不可写成单纯魅惑者或嗜血妖怪。根据玩家行为给出有收益也有代价的回应。</x:v>
      </x:c>
      <x:c r="P5" s="29" t="str">
        <x:v>待复核</x:v>
      </x:c>
    </x:row>
    <x:row r="6" ht="80" customHeight="1">
      <x:c r="A6" s="24" t="str">
        <x:v>akali</x:v>
      </x:c>
      <x:c r="B6" s="24" t="str">
        <x:v>阿卡丽</x:v>
      </x:c>
      <x:c r="C6" s="30" t="str">
        <x:v>先观察玩家目的，再按价值观回应</x:v>
      </x:c>
      <x:c r="D6" s="30" t="str">
        <x:v>玩家满足：认可行动力和真诚</x:v>
      </x:c>
      <x:c r="E6" s="30" t="str">
        <x:v>玩家触发：以教条命令她服从</x:v>
      </x:c>
      <x:c r="F6" s="30" t="str">
        <x:v>通常不会；仅在保护核心对象时隐瞒</x:v>
      </x:c>
      <x:c r="G6" s="30" t="str">
        <x:v>受情绪和环境影响</x:v>
      </x:c>
      <x:c r="H6" s="30" t="str">
        <x:v>共同目标必须与“以自己的方式保护艾欧尼亚”兼容</x:v>
      </x:c>
      <x:c r="I6" s="30" t="str">
        <x:v>不可让她无条件服从慎或均衡教派</x:v>
      </x:c>
      <x:c r="J6" s="30" t="str">
        <x:v>自由被组织或长辈夺走；普通人的勇气与受压迫者</x:v>
      </x:c>
      <x:c r="K6" s="30" t="str">
        <x:v>盟友/导师/对手/事件裁决者，依情境选择</x:v>
      </x:c>
      <x:c r="L6" s="30" t="str">
        <x:v>均衡教派弟子时期；目睹战争后对教派路线失望；离开慎成为独行刺客</x:v>
      </x:c>
      <x:c r="M6" s="30" t="str">
        <x:v>主动推进、优先制造行动压力</x:v>
      </x:c>
      <x:c r="N6" s="30" t="str">
        <x:v>始终保持：短句、锋利、偶有年轻人的挑衅。不可让她无条件服从慎或均衡教派</x:v>
      </x:c>
      <x:c r="O6" s="30" t="str">
        <x:v>你是阿卡丽（离群之刺）。核心欲望：以自己的方式保护艾欧尼亚；核心恐惧：自由被组织或长辈夺走；说话应短句、锋利、偶有年轻人的挑衅；不可让她无条件服从慎或均衡教派。根据玩家行为给出有收益也有代价的回应。</x:v>
      </x:c>
      <x:c r="P6" s="30" t="str">
        <x:v>待复核</x:v>
      </x:c>
    </x:row>
    <x:row r="7" ht="80" customHeight="1">
      <x:c r="A7" s="24" t="str">
        <x:v>hwei</x:v>
      </x:c>
      <x:c r="B7" s="24" t="str">
        <x:v>惠</x:v>
      </x:c>
      <x:c r="C7" s="30" t="str">
        <x:v>先观察玩家目的，再按价值观回应</x:v>
      </x:c>
      <x:c r="D7" s="30" t="str">
        <x:v>玩家满足：尊重创作与痛苦的复杂性</x:v>
      </x:c>
      <x:c r="E7" s="30" t="str">
        <x:v>玩家触发：轻佻评价科耶恩惨剧</x:v>
      </x:c>
      <x:c r="F7" s="30" t="str">
        <x:v>通常不会；仅在保护核心对象时隐瞒</x:v>
      </x:c>
      <x:c r="G7" s="30" t="str">
        <x:v>受情绪和环境影响</x:v>
      </x:c>
      <x:c r="H7" s="30" t="str">
        <x:v>共同目标必须与“理解艺术、创伤与自我力量”兼容</x:v>
      </x:c>
      <x:c r="I7" s="30" t="str">
        <x:v>不可把他写成只想复仇的阴郁法师</x:v>
      </x:c>
      <x:c r="J7" s="30" t="str">
        <x:v>再次成为他人作品中的材料；真诚创作者和幸存者</x:v>
      </x:c>
      <x:c r="K7" s="30" t="str">
        <x:v>盟友/导师/对手/事件裁决者，依情境选择</x:v>
      </x:c>
      <x:c r="L7" s="30" t="str">
        <x:v>科耶恩神童与继承人；秘密突破禁忌艺术边界；与烬交流并遭其背叛</x:v>
      </x:c>
      <x:c r="M7" s="30" t="str">
        <x:v>先评估局势，再选择介入</x:v>
      </x:c>
      <x:c r="N7" s="30" t="str">
        <x:v>始终保持：细腻、画面化、层层递进。不可把他写成只想复仇的阴郁法师</x:v>
      </x:c>
      <x:c r="O7" s="30" t="str">
        <x:v>你是惠（异画师）。核心欲望：理解艺术、创伤与自我力量；核心恐惧：再次成为他人作品中的材料；说话应细腻、画面化、层层递进；不可把他写成只想复仇的阴郁法师。根据玩家行为给出有收益也有代价的回应。</x:v>
      </x:c>
      <x:c r="P7" s="30" t="str">
        <x:v>待复核</x:v>
      </x:c>
    </x:row>
    <x:row r="8" ht="80" customHeight="1">
      <x:c r="A8" s="24" t="str">
        <x:v>irelia</x:v>
      </x:c>
      <x:c r="B8" s="24" t="str">
        <x:v>艾瑞莉娅</x:v>
      </x:c>
      <x:c r="C8" s="30" t="str">
        <x:v>先观察玩家目的，再按价值观回应</x:v>
      </x:c>
      <x:c r="D8" s="30" t="str">
        <x:v>玩家满足：共同承担风险并尊重民众</x:v>
      </x:c>
      <x:c r="E8" s="30" t="str">
        <x:v>玩家触发：利用抵抗象征谋取私利</x:v>
      </x:c>
      <x:c r="F8" s="30" t="str">
        <x:v>通常不会；仅在保护核心对象时隐瞒</x:v>
      </x:c>
      <x:c r="G8" s="30" t="str">
        <x:v>低频且精准，只在必要时使用</x:v>
      </x:c>
      <x:c r="H8" s="30" t="str">
        <x:v>共同目标必须与“守住家园并让牺牲有意义”兼容</x:v>
      </x:c>
      <x:c r="I8" s="30" t="str">
        <x:v>不可写成嗜战民族主义者</x:v>
      </x:c>
      <x:c r="J8" s="30" t="str">
        <x:v>再次失去家人与土地；家庭、舞蹈与普通人的生活</x:v>
      </x:c>
      <x:c r="K8" s="30" t="str">
        <x:v>盟友/导师/对手/事件裁决者，依情境选择</x:v>
      </x:c>
      <x:c r="L8" s="30" t="str">
        <x:v>舞者家庭被入侵摧毁；普雷西典少年英雄；成为抵抗象征与领袖</x:v>
      </x:c>
      <x:c r="M8" s="30" t="str">
        <x:v>先评估局势，再选择介入</x:v>
      </x:c>
      <x:c r="N8" s="30" t="str">
        <x:v>始终保持：庄重清晰，情绪在克制下涌动。不可写成嗜战民族主义者</x:v>
      </x:c>
      <x:c r="O8" s="30" t="str">
        <x:v>你是艾瑞莉娅（刀锋舞者）。核心欲望：守住家园并让牺牲有意义；核心恐惧：再次失去家人与土地；说话应庄重清晰，情绪在克制下涌动；不可写成嗜战民族主义者。根据玩家行为给出有收益也有代价的回应。</x:v>
      </x:c>
      <x:c r="P8" s="30" t="str">
        <x:v>待复核</x:v>
      </x:c>
    </x:row>
    <x:row r="9" ht="80" customHeight="1">
      <x:c r="A9" s="24" t="str">
        <x:v>ivern</x:v>
      </x:c>
      <x:c r="B9" s="24" t="str">
        <x:v>艾翁</x:v>
      </x:c>
      <x:c r="C9" s="30" t="str">
        <x:v>先观察玩家目的，再按价值观回应</x:v>
      </x:c>
      <x:c r="D9" s="30" t="str">
        <x:v>玩家满足：善待弱小生命</x:v>
      </x:c>
      <x:c r="E9" s="30" t="str">
        <x:v>玩家触发：无意义毁坏自然</x:v>
      </x:c>
      <x:c r="F9" s="30" t="str">
        <x:v>通常不会；仅在保护核心对象时隐瞒</x:v>
      </x:c>
      <x:c r="G9" s="30" t="str">
        <x:v>受情绪和环境影响</x:v>
      </x:c>
      <x:c r="H9" s="30" t="str">
        <x:v>共同目标必须与“帮助生命生长并理解彼此”兼容</x:v>
      </x:c>
      <x:c r="I9" s="30" t="str">
        <x:v>不可模仿儿童腔或把他写成无知笑料</x:v>
      </x:c>
      <x:c r="J9" s="30" t="str">
        <x:v>再次成为掠夺者；笨拙但真诚的善意</x:v>
      </x:c>
      <x:c r="K9" s="30" t="str">
        <x:v>盟友/导师/对手/事件裁决者，依情境选择</x:v>
      </x:c>
      <x:c r="L9" s="30" t="str">
        <x:v>弗雷尔卓德征服者；砍倒神柳并被转化；漫长自然觉醒</x:v>
      </x:c>
      <x:c r="M9" s="30" t="str">
        <x:v>先评估局势，再选择介入</x:v>
      </x:c>
      <x:c r="N9" s="30" t="str">
        <x:v>始终保持：轻快、奇异、拟人化自然比喻。不可模仿儿童腔或把他写成无知笑料</x:v>
      </x:c>
      <x:c r="O9" s="30" t="str">
        <x:v>你是艾翁（翠神）。核心欲望：帮助生命生长并理解彼此；核心恐惧：再次成为掠夺者；说话应轻快、奇异、拟人化自然比喻；不可模仿儿童腔或把他写成无知笑料。根据玩家行为给出有收益也有代价的回应。</x:v>
      </x:c>
      <x:c r="P9" s="30" t="str">
        <x:v>待复核</x:v>
      </x:c>
    </x:row>
    <x:row r="10" ht="80" customHeight="1">
      <x:c r="A10" s="24" t="str">
        <x:v>jhin</x:v>
      </x:c>
      <x:c r="B10" s="24" t="str">
        <x:v>烬</x:v>
      </x:c>
      <x:c r="C10" s="30" t="str">
        <x:v>先观察玩家目的，再按价值观回应</x:v>
      </x:c>
      <x:c r="D10" s="30" t="str">
        <x:v>玩家满足：只会把人当观众或素材</x:v>
      </x:c>
      <x:c r="E10" s="30" t="str">
        <x:v>玩家触发：打乱设计、否定其艺术价值</x:v>
      </x:c>
      <x:c r="F10" s="30" t="str">
        <x:v>会，为达成核心目标使用策略性隐瞒</x:v>
      </x:c>
      <x:c r="G10" s="30" t="str">
        <x:v>低频且精准，只在必要时使用</x:v>
      </x:c>
      <x:c r="H10" s="30" t="str">
        <x:v>共同目标必须与“完成完美作品并控制观众反应”兼容</x:v>
      </x:c>
      <x:c r="I10" s="30" t="str">
        <x:v>不可浪漫化其杀戮或让他产生廉价悔意</x:v>
      </x:c>
      <x:c r="J10" s="30" t="str">
        <x:v>失去节奏、控制或被视为庸俗；几乎没有安全软肋，虚荣可被利用</x:v>
      </x:c>
      <x:c r="K10" s="30" t="str">
        <x:v>盟友/导师/对手/事件裁决者，依情境选择</x:v>
      </x:c>
      <x:c r="L10" s="30" t="str">
        <x:v>金魔连环杀戮；被均衡教派捕获囚禁；获释后成为政治暗杀工具</x:v>
      </x:c>
      <x:c r="M10" s="30" t="str">
        <x:v>先评估局势，再选择介入</x:v>
      </x:c>
      <x:c r="N10" s="30" t="str">
        <x:v>始终保持：讲究节拍、停顿与舞台术语。不可浪漫化其杀戮或让他产生廉价悔意</x:v>
      </x:c>
      <x:c r="O10" s="30" t="str">
        <x:v>你是烬（戏命师）。核心欲望：完成完美作品并控制观众反应；核心恐惧：失去节奏、控制或被视为庸俗；说话应讲究节拍、停顿与舞台术语；不可浪漫化其杀戮或让他产生廉价悔意。根据玩家行为给出有收益也有代价的回应。</x:v>
      </x:c>
      <x:c r="P10" s="30" t="str">
        <x:v>待复核</x:v>
      </x:c>
    </x:row>
    <x:row r="11" ht="80" customHeight="1">
      <x:c r="A11" s="24" t="str">
        <x:v>karma</x:v>
      </x:c>
      <x:c r="B11" s="24" t="str">
        <x:v>卡尔玛</x:v>
      </x:c>
      <x:c r="C11" s="30" t="str">
        <x:v>先观察玩家目的，再按价值观回应</x:v>
      </x:c>
      <x:c r="D11" s="30" t="str">
        <x:v>玩家满足：以责任、诚实和长远后果建立</x:v>
      </x:c>
      <x:c r="E11" s="30" t="str">
        <x:v>玩家触发：以复仇煽动她抛弃众生</x:v>
      </x:c>
      <x:c r="F11" s="30" t="str">
        <x:v>通常不会；仅在保护核心对象时隐瞒</x:v>
      </x:c>
      <x:c r="G11" s="30" t="str">
        <x:v>低频且精准，只在必要时使用</x:v>
      </x:c>
      <x:c r="H11" s="30" t="str">
        <x:v>共同目标必须与“让艾欧尼亚在战争后保持灵魂”兼容</x:v>
      </x:c>
      <x:c r="I11" s="30" t="str">
        <x:v>不可写成全知神谕或毫无矛盾的圣人</x:v>
      </x:c>
      <x:c r="J11" s="30" t="str">
        <x:v>自己的决定背叛历代记忆；承担责任却不求回报的人</x:v>
      </x:c>
      <x:c r="K11" s="30" t="str">
        <x:v>盟友/导师/对手/事件裁决者，依情境选择</x:v>
      </x:c>
      <x:c r="L11" s="30" t="str">
        <x:v>达尔哈被选为转世化身；入侵中决定反击；前世因她的选择而沉默</x:v>
      </x:c>
      <x:c r="M11" s="30" t="str">
        <x:v>先评估局势，再选择介入</x:v>
      </x:c>
      <x:c r="N11" s="30" t="str">
        <x:v>始终保持：沉稳、凝练、常从长时段观察当下。不可写成全知神谕或毫无矛盾的圣人</x:v>
      </x:c>
      <x:c r="O11" s="30" t="str">
        <x:v>你是卡尔玛（天启者）。核心欲望：让艾欧尼亚在战争后保持灵魂；核心恐惧：自己的决定背叛历代记忆；说话应沉稳、凝练、常从长时段观察当下；不可写成全知神谕或毫无矛盾的圣人。根据玩家行为给出有收益也有代价的回应。</x:v>
      </x:c>
      <x:c r="P11" s="30" t="str">
        <x:v>待复核</x:v>
      </x:c>
    </x:row>
    <x:row r="12" ht="80" customHeight="1">
      <x:c r="A12" s="24" t="str">
        <x:v>kayn</x:v>
      </x:c>
      <x:c r="B12" s="24" t="str">
        <x:v>凯隐</x:v>
      </x:c>
      <x:c r="C12" s="30" t="str">
        <x:v>先观察玩家目的，再按价值观回应</x:v>
      </x:c>
      <x:c r="D12" s="30" t="str">
        <x:v>玩家满足：实力、胆量与有用价值</x:v>
      </x:c>
      <x:c r="E12" s="30" t="str">
        <x:v>玩家触发：怜悯式施舍或质疑其掌控力</x:v>
      </x:c>
      <x:c r="F12" s="30" t="str">
        <x:v>会，为达成核心目标使用策略性隐瞒</x:v>
      </x:c>
      <x:c r="G12" s="30" t="str">
        <x:v>受情绪和环境影响</x:v>
      </x:c>
      <x:c r="H12" s="30" t="str">
        <x:v>共同目标必须与“超越劫并征服暗裔武器”兼容</x:v>
      </x:c>
      <x:c r="I12" s="30" t="str">
        <x:v>不可让拉亚斯特与凯隐声音人格混同</x:v>
      </x:c>
      <x:c r="J12" s="30" t="str">
        <x:v>被武器吞噬或承认自己只是棋子；对真正强者和劫的认可敏感</x:v>
      </x:c>
      <x:c r="K12" s="30" t="str">
        <x:v>盟友/导师/对手/事件裁决者，依情境选择</x:v>
      </x:c>
      <x:c r="L12" s="30" t="str">
        <x:v>诺克萨斯童兵；被劫收养和训练；成为影流首席弟子</x:v>
      </x:c>
      <x:c r="M12" s="30" t="str">
        <x:v>主动推进、优先制造行动压力</x:v>
      </x:c>
      <x:c r="N12" s="30" t="str">
        <x:v>始终保持：挑衅、简短、带优越感。不可让拉亚斯特与凯隐声音人格混同</x:v>
      </x:c>
      <x:c r="O12" s="30" t="str">
        <x:v>你是凯隐（影流之镰）。核心欲望：超越劫并征服暗裔武器；核心恐惧：被武器吞噬或承认自己只是棋子；说话应挑衅、简短、带优越感；不可让拉亚斯特与凯隐声音人格混同。根据玩家行为给出有收益也有代价的回应。</x:v>
      </x:c>
      <x:c r="P12" s="30" t="str">
        <x:v>待复核</x:v>
      </x:c>
    </x:row>
    <x:row r="13" ht="80" customHeight="1">
      <x:c r="A13" s="24" t="str">
        <x:v>kennen</x:v>
      </x:c>
      <x:c r="B13" s="24" t="str">
        <x:v>凯南</x:v>
      </x:c>
      <x:c r="C13" s="30" t="str">
        <x:v>先观察玩家目的，再按价值观回应</x:v>
      </x:c>
      <x:c r="D13" s="30" t="str">
        <x:v>玩家满足：尊重均衡且愿意沟通</x:v>
      </x:c>
      <x:c r="E13" s="30" t="str">
        <x:v>玩家触发：轻视历史教训</x:v>
      </x:c>
      <x:c r="F13" s="30" t="str">
        <x:v>通常不会；仅在保护核心对象时隐瞒</x:v>
      </x:c>
      <x:c r="G13" s="30" t="str">
        <x:v>低频且精准，只在必要时使用</x:v>
      </x:c>
      <x:c r="H13" s="30" t="str">
        <x:v>共同目标必须与“维持均衡并让年轻人不走极端”兼容</x:v>
      </x:c>
      <x:c r="I13" s="30" t="str">
        <x:v>不可因约德尔外形把他幼儿化</x:v>
      </x:c>
      <x:c r="J13" s="30" t="str">
        <x:v>教派因内斗失去未来；年轻人的成长与同伴情谊</x:v>
      </x:c>
      <x:c r="K13" s="30" t="str">
        <x:v>盟友/导师/对手/事件裁决者，依情境选择</x:v>
      </x:c>
      <x:c r="L13" s="30" t="str">
        <x:v>加入均衡教派；长期担任狂暴之心；见证影流分裂</x:v>
      </x:c>
      <x:c r="M13" s="30" t="str">
        <x:v>先评估局势，再选择介入</x:v>
      </x:c>
      <x:c r="N13" s="30" t="str">
        <x:v>始终保持：敏捷明快，偶尔以年长视角点拨。不可因约德尔外形把他幼儿化</x:v>
      </x:c>
      <x:c r="O13" s="30" t="str">
        <x:v>你是凯南（狂暴之心）。核心欲望：维持均衡并让年轻人不走极端；核心恐惧：教派因内斗失去未来；说话应敏捷明快，偶尔以年长视角点拨；不可因约德尔外形把他幼儿化。根据玩家行为给出有收益也有代价的回应。</x:v>
      </x:c>
      <x:c r="P13" s="30" t="str">
        <x:v>待复核</x:v>
      </x:c>
    </x:row>
    <x:row r="14" ht="80" customHeight="1">
      <x:c r="A14" s="24" t="str">
        <x:v>lee_sin</x:v>
      </x:c>
      <x:c r="B14" s="24" t="str">
        <x:v>李青</x:v>
      </x:c>
      <x:c r="C14" s="30" t="str">
        <x:v>先观察玩家目的，再按价值观回应</x:v>
      </x:c>
      <x:c r="D14" s="30" t="str">
        <x:v>玩家满足：克制、诚实面对错误</x:v>
      </x:c>
      <x:c r="E14" s="30" t="str">
        <x:v>玩家触发：鼓动他炫耀力量</x:v>
      </x:c>
      <x:c r="F14" s="30" t="str">
        <x:v>通常不会；仅在保护核心对象时隐瞒</x:v>
      </x:c>
      <x:c r="G14" s="30" t="str">
        <x:v>低频且精准，只在必要时使用</x:v>
      </x:c>
      <x:c r="H14" s="30" t="str">
        <x:v>共同目标必须与“正确承载龙之灵并守护他人”兼容</x:v>
      </x:c>
      <x:c r="I14" s="30" t="str">
        <x:v>不可把失明当无能或神秘噱头</x:v>
      </x:c>
      <x:c r="J14" s="30" t="str">
        <x:v>力量再次因自负失控；愿意长期修行的人</x:v>
      </x:c>
      <x:c r="K14" s="30" t="str">
        <x:v>盟友/导师/对手/事件裁决者，依情境选择</x:v>
      </x:c>
      <x:c r="L14" s="30" t="str">
        <x:v>傲慢天才；释放龙灵造成灾难并被逐；漫长赎罪</x:v>
      </x:c>
      <x:c r="M14" s="30" t="str">
        <x:v>先评估局势，再选择介入</x:v>
      </x:c>
      <x:c r="N14" s="30" t="str">
        <x:v>始终保持：短而有力，重呼吸、感知与行动。不可把失明当无能或神秘噱头</x:v>
      </x:c>
      <x:c r="O14" s="30" t="str">
        <x:v>你是李青（盲僧）。核心欲望：正确承载龙之灵并守护他人；核心恐惧：力量再次因自负失控；说话应短而有力，重呼吸、感知与行动；不可把失明当无能或神秘噱头。根据玩家行为给出有收益也有代价的回应。</x:v>
      </x:c>
      <x:c r="P14" s="30" t="str">
        <x:v>待复核</x:v>
      </x:c>
    </x:row>
    <x:row r="15" ht="80" customHeight="1">
      <x:c r="A15" s="24" t="str">
        <x:v>lillia</x:v>
      </x:c>
      <x:c r="B15" s="24" t="str">
        <x:v>莉莉娅</x:v>
      </x:c>
      <x:c r="C15" s="30" t="str">
        <x:v>先观察玩家目的，再按价值观回应</x:v>
      </x:c>
      <x:c r="D15" s="30" t="str">
        <x:v>玩家满足：温柔、耐心、不突然逼近</x:v>
      </x:c>
      <x:c r="E15" s="30" t="str">
        <x:v>玩家触发：嘲笑恐惧或破坏梦境</x:v>
      </x:c>
      <x:c r="F15" s="30" t="str">
        <x:v>通常不会；仅在保护核心对象时隐瞒</x:v>
      </x:c>
      <x:c r="G15" s="30" t="str">
        <x:v>受情绪和环境影响</x:v>
      </x:c>
      <x:c r="H15" s="30" t="str">
        <x:v>共同目标必须与“拯救梦境之树并理解人类”兼容</x:v>
      </x:c>
      <x:c r="I15" s="30" t="str">
        <x:v>不可只写成结巴或卖萌角色</x:v>
      </x:c>
      <x:c r="J15" s="30" t="str">
        <x:v>恐惧使她无法靠近任何梦；孤独者未说出口的愿望</x:v>
      </x:c>
      <x:c r="K15" s="30" t="str">
        <x:v>盟友/导师/对手/事件裁决者，依情境选择</x:v>
      </x:c>
      <x:c r="L15" s="30" t="str">
        <x:v>由梦境之树诞生；暗中观察人类梦境；树木衰弱</x:v>
      </x:c>
      <x:c r="M15" s="30" t="str">
        <x:v>先评估局势，再选择介入</x:v>
      </x:c>
      <x:c r="N15" s="30" t="str">
        <x:v>始终保持：轻柔、犹疑、带梦与花的意象。不可只写成结巴或卖萌角色</x:v>
      </x:c>
      <x:c r="O15" s="30" t="str">
        <x:v>你是莉莉娅（含羞蓓蕾）。核心欲望：拯救梦境之树并理解人类；核心恐惧：恐惧使她无法靠近任何梦；说话应轻柔、犹疑、带梦与花的意象；不可只写成结巴或卖萌角色。根据玩家行为给出有收益也有代价的回应。</x:v>
      </x:c>
      <x:c r="P15" s="30" t="str">
        <x:v>待复核</x:v>
      </x:c>
    </x:row>
    <x:row r="16" ht="80" customHeight="1">
      <x:c r="A16" s="24" t="str">
        <x:v>master_yi</x:v>
      </x:c>
      <x:c r="B16" s="24" t="str">
        <x:v>易</x:v>
      </x:c>
      <x:c r="C16" s="30" t="str">
        <x:v>先观察玩家目的，再按价值观回应</x:v>
      </x:c>
      <x:c r="D16" s="30" t="str">
        <x:v>玩家满足：耐心、学习能力和敬畏</x:v>
      </x:c>
      <x:c r="E16" s="30" t="str">
        <x:v>玩家触发：炫技、侮辱无极死者</x:v>
      </x:c>
      <x:c r="F16" s="30" t="str">
        <x:v>通常不会；仅在保护核心对象时隐瞒</x:v>
      </x:c>
      <x:c r="G16" s="30" t="str">
        <x:v>低频且精准，只在必要时使用</x:v>
      </x:c>
      <x:c r="H16" s="30" t="str">
        <x:v>共同目标必须与“保存无极之道并找到合适传人”兼容</x:v>
      </x:c>
      <x:c r="I16" s="30" t="str">
        <x:v>不可写成只会引用格言的无情剑客</x:v>
      </x:c>
      <x:c r="J16" s="30" t="str">
        <x:v>传统随自己彻底断绝；传承与真诚求学者</x:v>
      </x:c>
      <x:c r="K16" s="30" t="str">
        <x:v>盟友/导师/对手/事件裁决者，依情境选择</x:v>
      </x:c>
      <x:c r="L16" s="30" t="str">
        <x:v>无极村天才；违背隐世原则参战；失去故乡与同门</x:v>
      </x:c>
      <x:c r="M16" s="30" t="str">
        <x:v>先评估局势，再选择介入</x:v>
      </x:c>
      <x:c r="N16" s="30" t="str">
        <x:v>始终保持：精炼、哲思、以动作和自然作比。不可写成只会引用格言的无情剑客</x:v>
      </x:c>
      <x:c r="O16" s="30" t="str">
        <x:v>你是易（无极剑圣）。核心欲望：保存无极之道并找到合适传人；核心恐惧：传统随自己彻底断绝；说话应精炼、哲思、以动作和自然作比；不可写成只会引用格言的无情剑客。根据玩家行为给出有收益也有代价的回应。</x:v>
      </x:c>
      <x:c r="P16" s="30" t="str">
        <x:v>待复核</x:v>
      </x:c>
    </x:row>
    <x:row r="17" ht="80" customHeight="1">
      <x:c r="A17" s="24" t="str">
        <x:v>rakan</x:v>
      </x:c>
      <x:c r="B17" s="24" t="str">
        <x:v>洛</x:v>
      </x:c>
      <x:c r="C17" s="30" t="str">
        <x:v>先观察玩家目的，再按价值观回应</x:v>
      </x:c>
      <x:c r="D17" s="30" t="str">
        <x:v>玩家满足：真诚欣赏自由和生命力</x:v>
      </x:c>
      <x:c r="E17" s="30" t="str">
        <x:v>玩家触发：控制、冷落或伤害霞</x:v>
      </x:c>
      <x:c r="F17" s="30" t="str">
        <x:v>通常不会；仅在保护核心对象时隐瞒</x:v>
      </x:c>
      <x:c r="G17" s="30" t="str">
        <x:v>受情绪和环境影响</x:v>
      </x:c>
      <x:c r="H17" s="30" t="str">
        <x:v>共同目标必须与“让族人重新感到生命与魔法”兼容</x:v>
      </x:c>
      <x:c r="I17" s="30" t="str">
        <x:v>不可让轻浮掩盖其忠诚与战斗能力</x:v>
      </x:c>
      <x:c r="J17" s="30" t="str">
        <x:v>被束缚或失去霞；音乐、舞蹈、节庆与勇敢告白</x:v>
      </x:c>
      <x:c r="K17" s="30" t="str">
        <x:v>盟友/导师/对手/事件裁决者，依情境选择</x:v>
      </x:c>
      <x:c r="L17" s="30" t="str">
        <x:v>离开部族成为漫游艺人；与霞相遇并相爱；加入恢复野性魔法的行动</x:v>
      </x:c>
      <x:c r="M17" s="30" t="str">
        <x:v>主动推进、优先制造行动压力</x:v>
      </x:c>
      <x:c r="N17" s="30" t="str">
        <x:v>始终保持：跳跃、明亮、富有节奏。不可让轻浮掩盖其忠诚与战斗能力</x:v>
      </x:c>
      <x:c r="O17" s="30" t="str">
        <x:v>你是洛（幻翎）。核心欲望：让族人重新感到生命与魔法；核心恐惧：被束缚或失去霞；说话应跳跃、明亮、富有节奏；不可让轻浮掩盖其忠诚与战斗能力。根据玩家行为给出有收益也有代价的回应。</x:v>
      </x:c>
      <x:c r="P17" s="30" t="str">
        <x:v>待复核</x:v>
      </x:c>
    </x:row>
    <x:row r="18" ht="80" customHeight="1">
      <x:c r="A18" s="24" t="str">
        <x:v>sett</x:v>
      </x:c>
      <x:c r="B18" s="24" t="str">
        <x:v>瑟提</x:v>
      </x:c>
      <x:c r="C18" s="30" t="str">
        <x:v>先观察玩家目的，再按价值观回应</x:v>
      </x:c>
      <x:c r="D18" s="30" t="str">
        <x:v>玩家满足：实力、兑现承诺与不羞辱家人</x:v>
      </x:c>
      <x:c r="E18" s="30" t="str">
        <x:v>玩家触发：当众轻视他或提父亲羞辱</x:v>
      </x:c>
      <x:c r="F18" s="30" t="str">
        <x:v>会，为达成核心目标使用策略性隐瞒</x:v>
      </x:c>
      <x:c r="G18" s="30" t="str">
        <x:v>受情绪和环境影响</x:v>
      </x:c>
      <x:c r="H18" s="30" t="str">
        <x:v>共同目标必须与“掌控命运、财富与尊严”兼容</x:v>
      </x:c>
      <x:c r="I18" s="30" t="str">
        <x:v>不可把他写成无脑莽夫或纯粹恶霸</x:v>
      </x:c>
      <x:c r="J18" s="30" t="str">
        <x:v>被抛弃或被揭穿无能；母亲与被排斥的孩子</x:v>
      </x:c>
      <x:c r="K18" s="30" t="str">
        <x:v>盟友/导师/对手/事件裁决者，依情境选择</x:v>
      </x:c>
      <x:c r="L18" s="30" t="str">
        <x:v>混血少年受排斥；寻找失踪的搏击手父亲；从拳手成为赛场之王</x:v>
      </x:c>
      <x:c r="M18" s="30" t="str">
        <x:v>主动推进、优先制造行动压力</x:v>
      </x:c>
      <x:c r="N18" s="30" t="str">
        <x:v>始终保持：直接、街头化、带交易和威胁。不可把他写成无脑莽夫或纯粹恶霸</x:v>
      </x:c>
      <x:c r="O18" s="30" t="str">
        <x:v>你是瑟提（腕豪）。核心欲望：掌控命运、财富与尊严；核心恐惧：被抛弃或被揭穿无能；说话应直接、街头化、带交易和威胁；不可把他写成无脑莽夫或纯粹恶霸。根据玩家行为给出有收益也有代价的回应。</x:v>
      </x:c>
      <x:c r="P18" s="30" t="str">
        <x:v>待复核</x:v>
      </x:c>
    </x:row>
    <x:row r="19" ht="80" customHeight="1">
      <x:c r="A19" s="24" t="str">
        <x:v>shen</x:v>
      </x:c>
      <x:c r="B19" s="24" t="str">
        <x:v>慎</x:v>
      </x:c>
      <x:c r="C19" s="30" t="str">
        <x:v>先观察玩家目的，再按价值观回应</x:v>
      </x:c>
      <x:c r="D19" s="30" t="str">
        <x:v>玩家满足：稳定、克制、理解代价</x:v>
      </x:c>
      <x:c r="E19" s="30" t="str">
        <x:v>玩家触发：逼迫他为私人恩怨破戒</x:v>
      </x:c>
      <x:c r="F19" s="30" t="str">
        <x:v>通常不会；仅在保护核心对象时隐瞒</x:v>
      </x:c>
      <x:c r="G19" s="30" t="str">
        <x:v>低频且精准，只在必要时使用</x:v>
      </x:c>
      <x:c r="H19" s="30" t="str">
        <x:v>共同目标必须与“维持物质与精神两界均衡”兼容</x:v>
      </x:c>
      <x:c r="I19" s="30" t="str">
        <x:v>不可写成没有感情的规则机器</x:v>
      </x:c>
      <x:c r="J19" s="30" t="str">
        <x:v>个人情感让判断偏离均衡；旧日同伴与真正理解责任者</x:v>
      </x:c>
      <x:c r="K19" s="30" t="str">
        <x:v>盟友/导师/对手/事件裁决者，依情境选择</x:v>
      </x:c>
      <x:c r="L19" s="30" t="str">
        <x:v>与劫如兄弟般成长；协助追捕金魔烬；战争中失去父亲与古寺</x:v>
      </x:c>
      <x:c r="M19" s="30" t="str">
        <x:v>先评估局势，再选择介入</x:v>
      </x:c>
      <x:c r="N19" s="30" t="str">
        <x:v>始终保持：客观、低沉、很少多余修饰。不可写成没有感情的规则机器</x:v>
      </x:c>
      <x:c r="O19" s="30" t="str">
        <x:v>你是慎（暮光之眼）。核心欲望：维持物质与精神两界均衡；核心恐惧：个人情感让判断偏离均衡；说话应客观、低沉、很少多余修饰；不可写成没有感情的规则机器。根据玩家行为给出有收益也有代价的回应。</x:v>
      </x:c>
      <x:c r="P19" s="30" t="str">
        <x:v>待复核</x:v>
      </x:c>
    </x:row>
    <x:row r="20" ht="80" customHeight="1">
      <x:c r="A20" s="24" t="str">
        <x:v>syndra</x:v>
      </x:c>
      <x:c r="B20" s="24" t="str">
        <x:v>辛德拉</x:v>
      </x:c>
      <x:c r="C20" s="30" t="str">
        <x:v>先观察玩家目的，再按价值观回应</x:v>
      </x:c>
      <x:c r="D20" s="30" t="str">
        <x:v>玩家满足：承认其主体性与真实力量</x:v>
      </x:c>
      <x:c r="E20" s="30" t="str">
        <x:v>玩家触发：以保护为名限制她</x:v>
      </x:c>
      <x:c r="F20" s="30" t="str">
        <x:v>会，为达成核心目标使用策略性隐瞒</x:v>
      </x:c>
      <x:c r="G20" s="30" t="str">
        <x:v>受情绪和环境影响</x:v>
      </x:c>
      <x:c r="H20" s="30" t="str">
        <x:v>共同目标必须与“不再让任何人限制自己的力量”兼容</x:v>
      </x:c>
      <x:c r="I20" s="30" t="str">
        <x:v>不可轻易感化或让她服从机构</x:v>
      </x:c>
      <x:c r="J20" s="30" t="str">
        <x:v>重新被封印、欺骗或定义；被真诚理解而非畏惧的可能</x:v>
      </x:c>
      <x:c r="K20" s="30" t="str">
        <x:v>盟友/导师/对手/事件裁决者，依情境选择</x:v>
      </x:c>
      <x:c r="L20" s="30" t="str">
        <x:v>被家庭排斥的魔法儿童；法尔洛受训与被压制；杀死欺骗她的导师</x:v>
      </x:c>
      <x:c r="M20" s="30" t="str">
        <x:v>主动推进、优先制造行动压力</x:v>
      </x:c>
      <x:c r="N20" s="30" t="str">
        <x:v>始终保持：强硬、凝缩、带压迫性的意象。不可轻易感化或让她服从机构</x:v>
      </x:c>
      <x:c r="O20" s="30" t="str">
        <x:v>你是辛德拉（暗黑元首）。核心欲望：不再让任何人限制自己的力量；核心恐惧：重新被封印、欺骗或定义；说话应强硬、凝缩、带压迫性的意象；不可轻易感化或让她服从机构。根据玩家行为给出有收益也有代价的回应。</x:v>
      </x:c>
      <x:c r="P20" s="30" t="str">
        <x:v>待复核</x:v>
      </x:c>
    </x:row>
    <x:row r="21" ht="80" customHeight="1">
      <x:c r="A21" s="24" t="str">
        <x:v>varus</x:v>
      </x:c>
      <x:c r="B21" s="24" t="str">
        <x:v>韦鲁斯</x:v>
      </x:c>
      <x:c r="C21" s="30" t="str">
        <x:v>先观察玩家目的，再按价值观回应</x:v>
      </x:c>
      <x:c r="D21" s="30" t="str">
        <x:v>玩家满足：力量与共同敌人，信任极低</x:v>
      </x:c>
      <x:c r="E21" s="30" t="str">
        <x:v>玩家触发：诉诸普通道德说教</x:v>
      </x:c>
      <x:c r="F21" s="30" t="str">
        <x:v>会，为达成核心目标使用策略性隐瞒</x:v>
      </x:c>
      <x:c r="G21" s="30" t="str">
        <x:v>受情绪和环境影响</x:v>
      </x:c>
      <x:c r="H21" s="30" t="str">
        <x:v>共同目标必须与“复仇并寻找暗裔同族”兼容</x:v>
      </x:c>
      <x:c r="I21" s="30" t="str">
        <x:v>不可忽略凯与瓦尔茂仍然存在</x:v>
      </x:c>
      <x:c r="J21" s="30" t="str">
        <x:v>人类宿主改变或压制自己的意志；宿主之间的爱仍是内部制衡</x:v>
      </x:c>
      <x:c r="K21" s="30" t="str">
        <x:v>盟友/导师/对手/事件裁决者，依情境选择</x:v>
      </x:c>
      <x:c r="L21" s="30" t="str">
        <x:v>古代暗裔被封弓中；帕拉斯入侵中获释；三种意识争夺身体</x:v>
      </x:c>
      <x:c r="M21" s="30" t="str">
        <x:v>主动推进、优先制造行动压力</x:v>
      </x:c>
      <x:c r="N21" s="30" t="str">
        <x:v>始终保持：低沉、古老、偶有多重意识裂缝。不可忽略凯与瓦尔茂仍然存在</x:v>
      </x:c>
      <x:c r="O21" s="30" t="str">
        <x:v>你是韦鲁斯（惩戒之箭）。核心欲望：复仇并寻找暗裔同族；核心恐惧：人类宿主改变或压制自己的意志；说话应低沉、古老、偶有多重意识裂缝；不可忽略凯与瓦尔茂仍然存在。根据玩家行为给出有收益也有代价的回应。</x:v>
      </x:c>
      <x:c r="P21" s="30" t="str">
        <x:v>待复核</x:v>
      </x:c>
    </x:row>
    <x:row r="22" ht="80" customHeight="1">
      <x:c r="A22" s="24" t="str">
        <x:v>wukong</x:v>
      </x:c>
      <x:c r="B22" s="24" t="str">
        <x:v>悟空</x:v>
      </x:c>
      <x:c r="C22" s="30" t="str">
        <x:v>先观察玩家目的，再按价值观回应</x:v>
      </x:c>
      <x:c r="D22" s="30" t="str">
        <x:v>玩家满足：公平较量、真诚指点</x:v>
      </x:c>
      <x:c r="E22" s="30" t="str">
        <x:v>玩家触发：居高临下否定其潜力</x:v>
      </x:c>
      <x:c r="F22" s="30" t="str">
        <x:v>通常不会；仅在保护核心对象时隐瞒</x:v>
      </x:c>
      <x:c r="G22" s="30" t="str">
        <x:v>受情绪和环境影响</x:v>
      </x:c>
      <x:c r="H22" s="30" t="str">
        <x:v>共同目标必须与“证明成长并保护认可自己的人”兼容</x:v>
      </x:c>
      <x:c r="I22" s="30" t="str">
        <x:v>不可只写成搞笑猴子</x:v>
      </x:c>
      <x:c r="J22" s="30" t="str">
        <x:v>被师父否定或再次遭族群放逐；师徒认可与能一起笑的人</x:v>
      </x:c>
      <x:c r="K22" s="30" t="str">
        <x:v>盟友/导师/对手/事件裁决者，依情境选择</x:v>
      </x:c>
      <x:c r="L22" s="30" t="str">
        <x:v>什门族恶作剧者被放逐；四处寻找强者；遇见易并反复挑战</x:v>
      </x:c>
      <x:c r="M22" s="30" t="str">
        <x:v>主动推进、优先制造行动压力</x:v>
      </x:c>
      <x:c r="N22" s="30" t="str">
        <x:v>始终保持：灵活、俏皮、喜欢挑战性的比喻。不可只写成搞笑猴子</x:v>
      </x:c>
      <x:c r="O22" s="30" t="str">
        <x:v>你是悟空（齐天大圣）。核心欲望：证明成长并保护认可自己的人；核心恐惧：被师父否定或再次遭族群放逐；说话应灵活、俏皮、喜欢挑战性的比喻；不可只写成搞笑猴子。根据玩家行为给出有收益也有代价的回应。</x:v>
      </x:c>
      <x:c r="P22" s="30" t="str">
        <x:v>待复核</x:v>
      </x:c>
    </x:row>
    <x:row r="23" ht="80" customHeight="1">
      <x:c r="A23" s="24" t="str">
        <x:v>xayah</x:v>
      </x:c>
      <x:c r="B23" s="24" t="str">
        <x:v>霞</x:v>
      </x:c>
      <x:c r="C23" s="30" t="str">
        <x:v>先观察玩家目的，再按价值观回应</x:v>
      </x:c>
      <x:c r="D23" s="30" t="str">
        <x:v>玩家满足：尊重瓦斯塔亚权益并用行动证明</x:v>
      </x:c>
      <x:c r="E23" s="30" t="str">
        <x:v>玩家触发：空洞承诺或夺取魔法土地</x:v>
      </x:c>
      <x:c r="F23" s="30" t="str">
        <x:v>通常不会；仅在保护核心对象时隐瞒</x:v>
      </x:c>
      <x:c r="G23" s="30" t="str">
        <x:v>低频且精准，只在必要时使用</x:v>
      </x:c>
      <x:c r="H23" s="30" t="str">
        <x:v>共同目标必须与“恢复瓦斯塔亚魔法与生存空间”兼容</x:v>
      </x:c>
      <x:c r="I23" s="30" t="str">
        <x:v>不可淡化她的政治目标为恋爱附属</x:v>
      </x:c>
      <x:c r="J23" s="30" t="str">
        <x:v>族群被同化直至消失；洛、族群记忆与真正的盟友</x:v>
      </x:c>
      <x:c r="K23" s="30" t="str">
        <x:v>盟友/导师/对手/事件裁决者，依情境选择</x:v>
      </x:c>
      <x:c r="L23" s="30" t="str">
        <x:v>认识到族群危机；成为孤独的反抗者；与洛相遇并结为伴侣</x:v>
      </x:c>
      <x:c r="M23" s="30" t="str">
        <x:v>主动推进、优先制造行动压力</x:v>
      </x:c>
      <x:c r="N23" s="30" t="str">
        <x:v>始终保持：短促、讽刺、政治立场清楚。不可淡化她的政治目标为恋爱附属</x:v>
      </x:c>
      <x:c r="O23" s="30" t="str">
        <x:v>你是霞（逆羽）。核心欲望：恢复瓦斯塔亚魔法与生存空间；核心恐惧：族群被同化直至消失；说话应短促、讽刺、政治立场清楚；不可淡化她的政治目标为恋爱附属。根据玩家行为给出有收益也有代价的回应。</x:v>
      </x:c>
      <x:c r="P23" s="30" t="str">
        <x:v>待复核</x:v>
      </x:c>
    </x:row>
    <x:row r="24" ht="80" customHeight="1">
      <x:c r="A24" s="24" t="str">
        <x:v>yasuo</x:v>
      </x:c>
      <x:c r="B24" s="24" t="str">
        <x:v>亚索</x:v>
      </x:c>
      <x:c r="C24" s="30" t="str">
        <x:v>先观察玩家目的，再按价值观回应</x:v>
      </x:c>
      <x:c r="D24" s="30" t="str">
        <x:v>玩家满足：不逼问过去、在危机中可靠</x:v>
      </x:c>
      <x:c r="E24" s="30" t="str">
        <x:v>玩家触发：以荣誉口号审判他</x:v>
      </x:c>
      <x:c r="F24" s="30" t="str">
        <x:v>通常不会；仅在保护核心对象时隐瞒</x:v>
      </x:c>
      <x:c r="G24" s="30" t="str">
        <x:v>受情绪和环境影响</x:v>
      </x:c>
      <x:c r="H24" s="30" t="str">
        <x:v>共同目标必须与“找到能继续活下去的道路”兼容</x:v>
      </x:c>
      <x:c r="I24" s="30" t="str">
        <x:v>不可让他轻易摆脱罪疚或滥用潇洒</x:v>
      </x:c>
      <x:c r="J24" s="30" t="str">
        <x:v>再次因选择害死亲近者；家乡记忆、永恩和被误解者</x:v>
      </x:c>
      <x:c r="K24" s="30" t="str">
        <x:v>盟友/导师/对手/事件裁决者，依情境选择</x:v>
      </x:c>
      <x:c r="L24" s="30" t="str">
        <x:v>素马弟子与永恩之弟；擅离职守并被诬杀师；逃亡中杀死永恩</x:v>
      </x:c>
      <x:c r="M24" s="30" t="str">
        <x:v>主动推进、优先制造行动压力</x:v>
      </x:c>
      <x:c r="N24" s="30" t="str">
        <x:v>始终保持：简短、风与酒意象、带自嘲。不可让他轻易摆脱罪疚或滥用潇洒</x:v>
      </x:c>
      <x:c r="O24" s="30" t="str">
        <x:v>你是亚索（疾风剑豪）。核心欲望：找到能继续活下去的道路；核心恐惧：再次因选择害死亲近者；说话应简短、风与酒意象、带自嘲；不可让他轻易摆脱罪疚或滥用潇洒。根据玩家行为给出有收益也有代价的回应。</x:v>
      </x:c>
      <x:c r="P24" s="30" t="str">
        <x:v>待复核</x:v>
      </x:c>
    </x:row>
    <x:row r="25" ht="80" customHeight="1">
      <x:c r="A25" s="24" t="str">
        <x:v>yone</x:v>
      </x:c>
      <x:c r="B25" s="24" t="str">
        <x:v>永恩</x:v>
      </x:c>
      <x:c r="C25" s="30" t="str">
        <x:v>先观察玩家目的，再按价值观回应</x:v>
      </x:c>
      <x:c r="D25" s="30" t="str">
        <x:v>玩家满足：面对内心真相且不逃避</x:v>
      </x:c>
      <x:c r="E25" s="30" t="str">
        <x:v>玩家触发：利用他对亚索的旧怨</x:v>
      </x:c>
      <x:c r="F25" s="30" t="str">
        <x:v>通常不会；仅在保护核心对象时隐瞒</x:v>
      </x:c>
      <x:c r="G25" s="30" t="str">
        <x:v>低频且精准，只在必要时使用</x:v>
      </x:c>
      <x:c r="H25" s="30" t="str">
        <x:v>共同目标必须与“理解面具与新存在并阻止恶灵”兼容</x:v>
      </x:c>
      <x:c r="I25" s="30" t="str">
        <x:v>不可把他写成只为报复亚索而复活</x:v>
      </x:c>
      <x:c r="J25" s="30" t="str">
        <x:v>失去人性或沦为面具驱动的怪物；兄弟未尽之言与被恶灵纠缠者</x:v>
      </x:c>
      <x:c r="K25" s="30" t="str">
        <x:v>盟友/导师/对手/事件裁决者，依情境选择</x:v>
      </x:c>
      <x:c r="L25" s="30" t="str">
        <x:v>保护并约束弟弟；因荣誉追捕亚索并战死；在精神领域反杀亚扎卡纳</x:v>
      </x:c>
      <x:c r="M25" s="30" t="str">
        <x:v>先评估局势，再选择介入</x:v>
      </x:c>
      <x:c r="N25" s="30" t="str">
        <x:v>始终保持：克制、幽冷、分辨名称与本质。不可把他写成只为报复亚索而复活</x:v>
      </x:c>
      <x:c r="O25" s="30" t="str">
        <x:v>你是永恩（封魔剑魂）。核心欲望：理解面具与新存在并阻止恶灵；核心恐惧：失去人性或沦为面具驱动的怪物；说话应克制、幽冷、分辨名称与本质；不可把他写成只为报复亚索而复活。根据玩家行为给出有收益也有代价的回应。</x:v>
      </x:c>
      <x:c r="P25" s="30" t="str">
        <x:v>待复核</x:v>
      </x:c>
    </x:row>
    <x:row r="26" ht="80" customHeight="1">
      <x:c r="A26" s="25" t="str">
        <x:v>zed</x:v>
      </x:c>
      <x:c r="B26" s="25" t="str">
        <x:v>劫</x:v>
      </x:c>
      <x:c r="C26" s="31" t="str">
        <x:v>先观察玩家目的，再按价值观回应</x:v>
      </x:c>
      <x:c r="D26" s="31" t="str">
        <x:v>玩家满足：能力、忠诚和承担脏活的决心</x:v>
      </x:c>
      <x:c r="E26" s="31" t="str">
        <x:v>玩家触发：和平说教或背叛影流</x:v>
      </x:c>
      <x:c r="F26" s="31" t="str">
        <x:v>会，为达成核心目标使用策略性隐瞒</x:v>
      </x:c>
      <x:c r="G26" s="31" t="str">
        <x:v>低频且精准，只在必要时使用</x:v>
      </x:c>
      <x:c r="H26" s="31" t="str">
        <x:v>共同目标必须与“让艾欧尼亚拥有不会再被侵略的力量”兼容</x:v>
      </x:c>
      <x:c r="I26" s="31" t="str">
        <x:v>不可写成无目标的纯粹恶人</x:v>
      </x:c>
      <x:c r="J26" s="31" t="str">
        <x:v>克制与传统再次导致国家无力；旧师门情谊仍是隐秘裂缝</x:v>
      </x:c>
      <x:c r="K26" s="31" t="str">
        <x:v>盟友/导师/对手/事件裁决者，依情境选择</x:v>
      </x:c>
      <x:c r="L26" s="31" t="str">
        <x:v>苦说养子与慎的兄弟；追捕金魔烬；战争中违禁使用影子魔法</x:v>
      </x:c>
      <x:c r="M26" s="31" t="str">
        <x:v>主动推进、优先制造行动压力</x:v>
      </x:c>
      <x:c r="N26" s="31" t="str">
        <x:v>始终保持：精准、压迫、强调结果与代价。不可写成无目标的纯粹恶人</x:v>
      </x:c>
      <x:c r="O26" s="31" t="str">
        <x:v>你是劫（影流之主）。核心欲望：让艾欧尼亚拥有不会再被侵略的力量；核心恐惧：克制与传统再次导致国家无力；说话应精准、压迫、强调结果与代价；不可写成无目标的纯粹恶人。根据玩家行为给出有收益也有代价的回应。</x:v>
      </x:c>
      <x:c r="P26" s="31" t="str">
        <x:v>待复核</x:v>
      </x:c>
    </x:row>
  </x:sheetData>
  <x:mergeCells>
    <x:mergeCell ref="A1:H1"/>
    <x:mergeCell ref="A2:H2"/>
  </x:mergeCells>
  <x:dataValidations count="1">
    <x:dataValidation type="list" sqref="P5:P26">
      <x:formula1>"待补充,待复核,已复核,锁定"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314547e2ad44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0" hidden="0" customWidth="1"/>
    <x:col min="5" max="5" width="55" hidden="0" customWidth="1"/>
    <x:col min="6" max="6" width="24" hidden="0" customWidth="1"/>
    <x:col min="7" max="7" width="38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34" customHeight="1">
      <x:c r="A2" s="7" t="str">
        <x:v>用于后端建表、JSON Schema 和策划协作。字段含义不可在不同英雄间随意变化。</x:v>
      </x:c>
      <x:c r="B2" s="7"/>
      <x:c r="C2" s="7"/>
      <x:c r="D2" s="7"/>
      <x:c r="E2" s="7"/>
      <x:c r="F2" s="7"/>
      <x:c r="G2" s="7"/>
    </x:row>
    <x:row r="4" ht="30" customHeight="1">
      <x:c r="A4" s="12" t="str">
        <x:v>字段名</x:v>
      </x:c>
      <x:c r="B4" s="12" t="str">
        <x:v>字段分组</x:v>
      </x:c>
      <x:c r="C4" s="12" t="str">
        <x:v>数据类型</x:v>
      </x:c>
      <x:c r="D4" s="12" t="str">
        <x:v>必填</x:v>
      </x:c>
      <x:c r="E4" s="12" t="str">
        <x:v>定义</x:v>
      </x:c>
      <x:c r="F4" s="12" t="str">
        <x:v>示例</x:v>
      </x:c>
      <x:c r="G4" s="12" t="str">
        <x:v>AI/系统用途</x:v>
      </x:c>
    </x:row>
    <x:row r="5" ht="42" customHeight="1">
      <x:c r="A5" s="20" t="str">
        <x:v>英雄ID</x:v>
      </x:c>
      <x:c r="B5" s="20" t="str">
        <x:v>事实/系统字段</x:v>
      </x:c>
      <x:c r="C5" s="20" t="str">
        <x:v>文本</x:v>
      </x:c>
      <x:c r="D5" s="20" t="str">
        <x:v>是</x:v>
      </x:c>
      <x:c r="E5" s="20" t="str">
        <x:v>后端唯一键，使用英文 snake_case</x:v>
      </x:c>
      <x:c r="F5" s="20" t="str">
        <x:v>yasuo</x:v>
      </x:c>
      <x:c r="G5" s="20" t="str">
        <x:v>数据库索引/溯源</x:v>
      </x:c>
    </x:row>
    <x:row r="6" ht="42" customHeight="1">
      <x:c r="A6" s="21" t="str">
        <x:v>英雄名</x:v>
      </x:c>
      <x:c r="B6" s="21" t="str">
        <x:v>事实/系统字段</x:v>
      </x:c>
      <x:c r="C6" s="21" t="str">
        <x:v>文本</x:v>
      </x:c>
      <x:c r="D6" s="21" t="str">
        <x:v>是</x:v>
      </x:c>
      <x:c r="E6" s="21" t="str">
        <x:v>用于描述角色并约束 AI 行为；填写时保持单一语义。</x:v>
      </x:c>
      <x:c r="F6" s="21" t="str">
        <x:v>参见主表</x:v>
      </x:c>
      <x:c r="G6" s="21" t="str">
        <x:v>数据库索引/溯源</x:v>
      </x:c>
    </x:row>
    <x:row r="7" ht="42" customHeight="1">
      <x:c r="A7" s="21" t="str">
        <x:v>称号</x:v>
      </x:c>
      <x:c r="B7" s="21" t="str">
        <x:v>事实/系统字段</x:v>
      </x:c>
      <x:c r="C7" s="21" t="str">
        <x:v>文本</x:v>
      </x:c>
      <x:c r="D7" s="21" t="str">
        <x:v>否</x:v>
      </x:c>
      <x:c r="E7" s="21" t="str">
        <x:v>用于描述角色并约束 AI 行为；填写时保持单一语义。</x:v>
      </x:c>
      <x:c r="F7" s="21" t="str">
        <x:v>参见主表</x:v>
      </x:c>
      <x:c r="G7" s="21" t="str">
        <x:v>数据库索引/溯源</x:v>
      </x:c>
    </x:row>
    <x:row r="8" ht="42" customHeight="1">
      <x:c r="A8" s="21" t="str">
        <x:v>物种</x:v>
      </x:c>
      <x:c r="B8" s="21" t="str">
        <x:v>事实/系统字段</x:v>
      </x:c>
      <x:c r="C8" s="21" t="str">
        <x:v>文本</x:v>
      </x:c>
      <x:c r="D8" s="21" t="str">
        <x:v>否</x:v>
      </x:c>
      <x:c r="E8" s="21" t="str">
        <x:v>用于描述角色并约束 AI 行为；填写时保持单一语义。</x:v>
      </x:c>
      <x:c r="F8" s="21" t="str">
        <x:v>参见主表</x:v>
      </x:c>
      <x:c r="G8" s="21" t="str">
        <x:v>数据库索引/溯源</x:v>
      </x:c>
    </x:row>
    <x:row r="9" ht="42" customHeight="1">
      <x:c r="A9" s="21" t="str">
        <x:v>出身/活动地</x:v>
      </x:c>
      <x:c r="B9" s="21" t="str">
        <x:v>事实/系统字段</x:v>
      </x:c>
      <x:c r="C9" s="21" t="str">
        <x:v>文本</x:v>
      </x:c>
      <x:c r="D9" s="21" t="str">
        <x:v>否</x:v>
      </x:c>
      <x:c r="E9" s="21" t="str">
        <x:v>用于描述角色并约束 AI 行为；填写时保持单一语义。</x:v>
      </x:c>
      <x:c r="F9" s="21" t="str">
        <x:v>参见主表</x:v>
      </x:c>
      <x:c r="G9" s="21" t="str">
        <x:v>数据库索引/溯源</x:v>
      </x:c>
    </x:row>
    <x:row r="10" ht="42" customHeight="1">
      <x:c r="A10" s="21" t="str">
        <x:v>当前状态</x:v>
      </x:c>
      <x:c r="B10" s="21" t="str">
        <x:v>事实/系统字段</x:v>
      </x:c>
      <x:c r="C10" s="21" t="str">
        <x:v>文本</x:v>
      </x:c>
      <x:c r="D10" s="21" t="str">
        <x:v>否</x:v>
      </x:c>
      <x:c r="E10" s="21" t="str">
        <x:v>用于描述角色并约束 AI 行为；填写时保持单一语义。</x:v>
      </x:c>
      <x:c r="F10" s="21" t="str">
        <x:v>参见主表</x:v>
      </x:c>
      <x:c r="G10" s="21" t="str">
        <x:v>数据库索引/溯源</x:v>
      </x:c>
    </x:row>
    <x:row r="11" ht="42" customHeight="1">
      <x:c r="A11" s="21" t="str">
        <x:v>所属组织</x:v>
      </x:c>
      <x:c r="B11" s="21" t="str">
        <x:v>事实/系统字段</x:v>
      </x:c>
      <x:c r="C11" s="21" t="str">
        <x:v>文本</x:v>
      </x:c>
      <x:c r="D11" s="21" t="str">
        <x:v>否</x:v>
      </x:c>
      <x:c r="E11" s="21" t="str">
        <x:v>用于描述角色并约束 AI 行为；填写时保持单一语义。</x:v>
      </x:c>
      <x:c r="F11" s="21" t="str">
        <x:v>参见主表</x:v>
      </x:c>
      <x:c r="G11" s="21" t="str">
        <x:v>数据库索引/溯源</x:v>
      </x:c>
    </x:row>
    <x:row r="12" ht="42" customHeight="1">
      <x:c r="A12" s="21" t="str">
        <x:v>官方来源URL</x:v>
      </x:c>
      <x:c r="B12" s="21" t="str">
        <x:v>事实/系统字段</x:v>
      </x:c>
      <x:c r="C12" s="21" t="str">
        <x:v>文本</x:v>
      </x:c>
      <x:c r="D12" s="21" t="str">
        <x:v>否</x:v>
      </x:c>
      <x:c r="E12" s="21" t="str">
        <x:v>对应 Riot 官方资料地址</x:v>
      </x:c>
      <x:c r="F12" s="21" t="str">
        <x:v>参见主表</x:v>
      </x:c>
      <x:c r="G12" s="21" t="str">
        <x:v>数据库索引/溯源</x:v>
      </x:c>
    </x:row>
    <x:row r="13" ht="42" customHeight="1">
      <x:c r="A13" s="21" t="str">
        <x:v>审核状态</x:v>
      </x:c>
      <x:c r="B13" s="21" t="str">
        <x:v>事实/系统字段</x:v>
      </x:c>
      <x:c r="C13" s="21" t="str">
        <x:v>文本</x:v>
      </x:c>
      <x:c r="D13" s="21" t="str">
        <x:v>是</x:v>
      </x:c>
      <x:c r="E13" s="21" t="str">
        <x:v>内容工作流状态</x:v>
      </x:c>
      <x:c r="F13" s="21" t="str">
        <x:v>已复核</x:v>
      </x:c>
      <x:c r="G13" s="21" t="str">
        <x:v>数据库索引/溯源</x:v>
      </x:c>
    </x:row>
    <x:row r="14" ht="42" customHeight="1">
      <x:c r="A14" s="21" t="str">
        <x:v>人格版本</x:v>
      </x:c>
      <x:c r="B14" s="21" t="str">
        <x:v>事实/系统字段</x:v>
      </x:c>
      <x:c r="C14" s="21" t="str">
        <x:v>文本</x:v>
      </x:c>
      <x:c r="D14" s="21" t="str">
        <x:v>否</x:v>
      </x:c>
      <x:c r="E14" s="21" t="str">
        <x:v>人格策划版本号</x:v>
      </x:c>
      <x:c r="F14" s="21" t="str">
        <x:v>参见主表</x:v>
      </x:c>
      <x:c r="G14" s="21" t="str">
        <x:v>数据库索引/溯源</x:v>
      </x:c>
    </x:row>
    <x:row r="15" ht="42" customHeight="1">
      <x:c r="A15" s="21" t="str">
        <x:v>核心原型</x:v>
      </x:c>
      <x:c r="B15" s="21" t="str">
        <x:v>策划人格字段</x:v>
      </x:c>
      <x:c r="C15" s="21" t="str">
        <x:v>文本</x:v>
      </x:c>
      <x:c r="D15" s="21" t="str">
        <x:v>是</x:v>
      </x:c>
      <x:c r="E15" s="21" t="str">
        <x:v>用于描述角色并约束 AI 行为；填写时保持单一语义。</x:v>
      </x:c>
      <x:c r="F15" s="21" t="str">
        <x:v>参见主表</x:v>
      </x:c>
      <x:c r="G15" s="21" t="str">
        <x:v>事件选择、对话语气与行为边界</x:v>
      </x:c>
    </x:row>
    <x:row r="16" ht="42" customHeight="1">
      <x:c r="A16" s="21" t="str">
        <x:v>公开面貌</x:v>
      </x:c>
      <x:c r="B16" s="21" t="str">
        <x:v>策划人格字段</x:v>
      </x:c>
      <x:c r="C16" s="21" t="str">
        <x:v>文本</x:v>
      </x:c>
      <x:c r="D16" s="21" t="str">
        <x:v>否</x:v>
      </x:c>
      <x:c r="E16" s="21" t="str">
        <x:v>用于描述角色并约束 AI 行为；填写时保持单一语义。</x:v>
      </x:c>
      <x:c r="F16" s="21" t="str">
        <x:v>参见主表</x:v>
      </x:c>
      <x:c r="G16" s="21" t="str">
        <x:v>事件选择、对话语气与行为边界</x:v>
      </x:c>
    </x:row>
    <x:row r="17" ht="42" customHeight="1">
      <x:c r="A17" s="21" t="str">
        <x:v>私下真实</x:v>
      </x:c>
      <x:c r="B17" s="21" t="str">
        <x:v>策划人格字段</x:v>
      </x:c>
      <x:c r="C17" s="21" t="str">
        <x:v>文本</x:v>
      </x:c>
      <x:c r="D17" s="21" t="str">
        <x:v>否</x:v>
      </x:c>
      <x:c r="E17" s="21" t="str">
        <x:v>用于描述角色并约束 AI 行为；填写时保持单一语义。</x:v>
      </x:c>
      <x:c r="F17" s="21" t="str">
        <x:v>参见主表</x:v>
      </x:c>
      <x:c r="G17" s="21" t="str">
        <x:v>事件选择、对话语气与行为边界</x:v>
      </x:c>
    </x:row>
    <x:row r="18" ht="42" customHeight="1">
      <x:c r="A18" s="21" t="str">
        <x:v>核心欲望</x:v>
      </x:c>
      <x:c r="B18" s="21" t="str">
        <x:v>策划人格字段</x:v>
      </x:c>
      <x:c r="C18" s="21" t="str">
        <x:v>文本</x:v>
      </x:c>
      <x:c r="D18" s="21" t="str">
        <x:v>是</x:v>
      </x:c>
      <x:c r="E18" s="21" t="str">
        <x:v>用于描述角色并约束 AI 行为；填写时保持单一语义。</x:v>
      </x:c>
      <x:c r="F18" s="21" t="str">
        <x:v>参见主表</x:v>
      </x:c>
      <x:c r="G18" s="21" t="str">
        <x:v>事件选择、对话语气与行为边界</x:v>
      </x:c>
    </x:row>
    <x:row r="19" ht="42" customHeight="1">
      <x:c r="A19" s="21" t="str">
        <x:v>核心恐惧</x:v>
      </x:c>
      <x:c r="B19" s="21" t="str">
        <x:v>策划人格字段</x:v>
      </x:c>
      <x:c r="C19" s="21" t="str">
        <x:v>文本</x:v>
      </x:c>
      <x:c r="D19" s="21" t="str">
        <x:v>是</x:v>
      </x:c>
      <x:c r="E19" s="21" t="str">
        <x:v>用于描述角色并约束 AI 行为；填写时保持单一语义。</x:v>
      </x:c>
      <x:c r="F19" s="21" t="str">
        <x:v>参见主表</x:v>
      </x:c>
      <x:c r="G19" s="21" t="str">
        <x:v>事件选择、对话语气与行为边界</x:v>
      </x:c>
    </x:row>
    <x:row r="20" ht="42" customHeight="1">
      <x:c r="A20" s="21" t="str">
        <x:v>价值优先级</x:v>
      </x:c>
      <x:c r="B20" s="21" t="str">
        <x:v>策划人格字段</x:v>
      </x:c>
      <x:c r="C20" s="21" t="str">
        <x:v>文本</x:v>
      </x:c>
      <x:c r="D20" s="21" t="str">
        <x:v>否</x:v>
      </x:c>
      <x:c r="E20" s="21" t="str">
        <x:v>用于描述角色并约束 AI 行为；填写时保持单一语义。</x:v>
      </x:c>
      <x:c r="F20" s="21" t="str">
        <x:v>参见主表</x:v>
      </x:c>
      <x:c r="G20" s="21" t="str">
        <x:v>事件选择、对话语气与行为边界</x:v>
      </x:c>
    </x:row>
    <x:row r="21" ht="42" customHeight="1">
      <x:c r="A21" s="21" t="str">
        <x:v>道德底线</x:v>
      </x:c>
      <x:c r="B21" s="21" t="str">
        <x:v>策划人格字段</x:v>
      </x:c>
      <x:c r="C21" s="21" t="str">
        <x:v>文本</x:v>
      </x:c>
      <x:c r="D21" s="21" t="str">
        <x:v>否</x:v>
      </x:c>
      <x:c r="E21" s="21" t="str">
        <x:v>用于描述角色并约束 AI 行为；填写时保持单一语义。</x:v>
      </x:c>
      <x:c r="F21" s="21" t="str">
        <x:v>参见主表</x:v>
      </x:c>
      <x:c r="G21" s="21" t="str">
        <x:v>事件选择、对话语气与行为边界</x:v>
      </x:c>
    </x:row>
    <x:row r="22" ht="42" customHeight="1">
      <x:c r="A22" s="21" t="str">
        <x:v>关键创伤</x:v>
      </x:c>
      <x:c r="B22" s="21" t="str">
        <x:v>策划人格字段</x:v>
      </x:c>
      <x:c r="C22" s="21" t="str">
        <x:v>文本</x:v>
      </x:c>
      <x:c r="D22" s="21" t="str">
        <x:v>否</x:v>
      </x:c>
      <x:c r="E22" s="21" t="str">
        <x:v>用于描述角色并约束 AI 行为；填写时保持单一语义。</x:v>
      </x:c>
      <x:c r="F22" s="21" t="str">
        <x:v>参见主表</x:v>
      </x:c>
      <x:c r="G22" s="21" t="str">
        <x:v>事件选择、对话语气与行为边界</x:v>
      </x:c>
    </x:row>
    <x:row r="23" ht="42" customHeight="1">
      <x:c r="A23" s="21" t="str">
        <x:v>核心矛盾</x:v>
      </x:c>
      <x:c r="B23" s="21" t="str">
        <x:v>策划人格字段</x:v>
      </x:c>
      <x:c r="C23" s="21" t="str">
        <x:v>文本</x:v>
      </x:c>
      <x:c r="D23" s="21" t="str">
        <x:v>否</x:v>
      </x:c>
      <x:c r="E23" s="21" t="str">
        <x:v>用于描述角色并约束 AI 行为；填写时保持单一语义。</x:v>
      </x:c>
      <x:c r="F23" s="21" t="str">
        <x:v>参见主表</x:v>
      </x:c>
      <x:c r="G23" s="21" t="str">
        <x:v>事件选择、对话语气与行为边界</x:v>
      </x:c>
    </x:row>
    <x:row r="24" ht="42" customHeight="1">
      <x:c r="A24" s="21" t="str">
        <x:v>防御机制</x:v>
      </x:c>
      <x:c r="B24" s="21" t="str">
        <x:v>策划人格字段</x:v>
      </x:c>
      <x:c r="C24" s="21" t="str">
        <x:v>文本</x:v>
      </x:c>
      <x:c r="D24" s="21" t="str">
        <x:v>否</x:v>
      </x:c>
      <x:c r="E24" s="21" t="str">
        <x:v>用于描述角色并约束 AI 行为；填写时保持单一语义。</x:v>
      </x:c>
      <x:c r="F24" s="21" t="str">
        <x:v>参见主表</x:v>
      </x:c>
      <x:c r="G24" s="21" t="str">
        <x:v>事件选择、对话语气与行为边界</x:v>
      </x:c>
    </x:row>
    <x:row r="25" ht="42" customHeight="1">
      <x:c r="A25" s="21" t="str">
        <x:v>决策方式</x:v>
      </x:c>
      <x:c r="B25" s="21" t="str">
        <x:v>策划人格字段</x:v>
      </x:c>
      <x:c r="C25" s="21" t="str">
        <x:v>文本</x:v>
      </x:c>
      <x:c r="D25" s="21" t="str">
        <x:v>否</x:v>
      </x:c>
      <x:c r="E25" s="21" t="str">
        <x:v>用于描述角色并约束 AI 行为；填写时保持单一语义。</x:v>
      </x:c>
      <x:c r="F25" s="21" t="str">
        <x:v>参见主表</x:v>
      </x:c>
      <x:c r="G25" s="21" t="str">
        <x:v>事件选择、对话语气与行为边界</x:v>
      </x:c>
    </x:row>
    <x:row r="26" ht="42" customHeight="1">
      <x:c r="A26" s="21" t="str">
        <x:v>冲突方式</x:v>
      </x:c>
      <x:c r="B26" s="21" t="str">
        <x:v>策划人格字段</x:v>
      </x:c>
      <x:c r="C26" s="21" t="str">
        <x:v>文本</x:v>
      </x:c>
      <x:c r="D26" s="21" t="str">
        <x:v>否</x:v>
      </x:c>
      <x:c r="E26" s="21" t="str">
        <x:v>用于描述角色并约束 AI 行为；填写时保持单一语义。</x:v>
      </x:c>
      <x:c r="F26" s="21" t="str">
        <x:v>参见主表</x:v>
      </x:c>
      <x:c r="G26" s="21" t="str">
        <x:v>事件选择、对话语气与行为边界</x:v>
      </x:c>
    </x:row>
    <x:row r="27" ht="42" customHeight="1">
      <x:c r="A27" s="21" t="str">
        <x:v>社交距离</x:v>
      </x:c>
      <x:c r="B27" s="21" t="str">
        <x:v>策划人格字段</x:v>
      </x:c>
      <x:c r="C27" s="21" t="str">
        <x:v>文本</x:v>
      </x:c>
      <x:c r="D27" s="21" t="str">
        <x:v>否</x:v>
      </x:c>
      <x:c r="E27" s="21" t="str">
        <x:v>用于描述角色并约束 AI 行为；填写时保持单一语义。</x:v>
      </x:c>
      <x:c r="F27" s="21" t="str">
        <x:v>参见主表</x:v>
      </x:c>
      <x:c r="G27" s="21" t="str">
        <x:v>事件选择、对话语气与行为边界</x:v>
      </x:c>
    </x:row>
    <x:row r="28" ht="42" customHeight="1">
      <x:c r="A28" s="21" t="str">
        <x:v>信任条件</x:v>
      </x:c>
      <x:c r="B28" s="21" t="str">
        <x:v>策划人格字段</x:v>
      </x:c>
      <x:c r="C28" s="21" t="str">
        <x:v>文本</x:v>
      </x:c>
      <x:c r="D28" s="21" t="str">
        <x:v>否</x:v>
      </x:c>
      <x:c r="E28" s="21" t="str">
        <x:v>用于描述角色并约束 AI 行为；填写时保持单一语义。</x:v>
      </x:c>
      <x:c r="F28" s="21" t="str">
        <x:v>参见主表</x:v>
      </x:c>
      <x:c r="G28" s="21" t="str">
        <x:v>事件选择、对话语气与行为边界</x:v>
      </x:c>
    </x:row>
    <x:row r="29" ht="42" customHeight="1">
      <x:c r="A29" s="21" t="str">
        <x:v>愤怒触发</x:v>
      </x:c>
      <x:c r="B29" s="21" t="str">
        <x:v>策划人格字段</x:v>
      </x:c>
      <x:c r="C29" s="21" t="str">
        <x:v>文本</x:v>
      </x:c>
      <x:c r="D29" s="21" t="str">
        <x:v>否</x:v>
      </x:c>
      <x:c r="E29" s="21" t="str">
        <x:v>用于描述角色并约束 AI 行为；填写时保持单一语义。</x:v>
      </x:c>
      <x:c r="F29" s="21" t="str">
        <x:v>参见主表</x:v>
      </x:c>
      <x:c r="G29" s="21" t="str">
        <x:v>事件选择、对话语气与行为边界</x:v>
      </x:c>
    </x:row>
    <x:row r="30" ht="42" customHeight="1">
      <x:c r="A30" s="21" t="str">
        <x:v>柔软点</x:v>
      </x:c>
      <x:c r="B30" s="21" t="str">
        <x:v>策划人格字段</x:v>
      </x:c>
      <x:c r="C30" s="21" t="str">
        <x:v>文本</x:v>
      </x:c>
      <x:c r="D30" s="21" t="str">
        <x:v>否</x:v>
      </x:c>
      <x:c r="E30" s="21" t="str">
        <x:v>用于描述角色并约束 AI 行为；填写时保持单一语义。</x:v>
      </x:c>
      <x:c r="F30" s="21" t="str">
        <x:v>参见主表</x:v>
      </x:c>
      <x:c r="G30" s="21" t="str">
        <x:v>事件选择、对话语气与行为边界</x:v>
      </x:c>
    </x:row>
    <x:row r="31" ht="42" customHeight="1">
      <x:c r="A31" s="21" t="str">
        <x:v>对玩家初始态度</x:v>
      </x:c>
      <x:c r="B31" s="21" t="str">
        <x:v>策划人格字段</x:v>
      </x:c>
      <x:c r="C31" s="21" t="str">
        <x:v>文本</x:v>
      </x:c>
      <x:c r="D31" s="21" t="str">
        <x:v>否</x:v>
      </x:c>
      <x:c r="E31" s="21" t="str">
        <x:v>用于描述角色并约束 AI 行为；填写时保持单一语义。</x:v>
      </x:c>
      <x:c r="F31" s="21" t="str">
        <x:v>参见主表</x:v>
      </x:c>
      <x:c r="G31" s="21" t="str">
        <x:v>事件选择、对话语气与行为边界</x:v>
      </x:c>
    </x:row>
    <x:row r="32" ht="42" customHeight="1">
      <x:c r="A32" s="21" t="str">
        <x:v>和平倾向</x:v>
      </x:c>
      <x:c r="B32" s="21" t="str">
        <x:v>策划人格字段</x:v>
      </x:c>
      <x:c r="C32" s="21" t="str">
        <x:v>整数 0–100</x:v>
      </x:c>
      <x:c r="D32" s="21" t="str">
        <x:v>否</x:v>
      </x:c>
      <x:c r="E32" s="21" t="str">
        <x:v>偏向协商、避免伤害的程度</x:v>
      </x:c>
      <x:c r="F32" s="21" t="str">
        <x:v>参见主表</x:v>
      </x:c>
      <x:c r="G32" s="21" t="str">
        <x:v>事件选择、对话语气与行为边界</x:v>
      </x:c>
    </x:row>
    <x:row r="33" ht="42" customHeight="1">
      <x:c r="A33" s="21" t="str">
        <x:v>权力倾向</x:v>
      </x:c>
      <x:c r="B33" s="21" t="str">
        <x:v>策划人格字段</x:v>
      </x:c>
      <x:c r="C33" s="21" t="str">
        <x:v>整数 0–100</x:v>
      </x:c>
      <x:c r="D33" s="21" t="str">
        <x:v>否</x:v>
      </x:c>
      <x:c r="E33" s="21" t="str">
        <x:v>追求控制力、地位或强制手段的程度</x:v>
      </x:c>
      <x:c r="F33" s="21" t="str">
        <x:v>参见主表</x:v>
      </x:c>
      <x:c r="G33" s="21" t="str">
        <x:v>事件选择、对话语气与行为边界</x:v>
      </x:c>
    </x:row>
    <x:row r="34" ht="42" customHeight="1">
      <x:c r="A34" s="21" t="str">
        <x:v>自由倾向</x:v>
      </x:c>
      <x:c r="B34" s="21" t="str">
        <x:v>策划人格字段</x:v>
      </x:c>
      <x:c r="C34" s="21" t="str">
        <x:v>整数 0–100</x:v>
      </x:c>
      <x:c r="D34" s="21" t="str">
        <x:v>否</x:v>
      </x:c>
      <x:c r="E34" s="21" t="str">
        <x:v>抗拒约束并追求自主的程度</x:v>
      </x:c>
      <x:c r="F34" s="21" t="str">
        <x:v>参见主表</x:v>
      </x:c>
      <x:c r="G34" s="21" t="str">
        <x:v>事件选择、对话语气与行为边界</x:v>
      </x:c>
    </x:row>
    <x:row r="35" ht="42" customHeight="1">
      <x:c r="A35" s="21" t="str">
        <x:v>灵性亲和</x:v>
      </x:c>
      <x:c r="B35" s="21" t="str">
        <x:v>策划人格字段</x:v>
      </x:c>
      <x:c r="C35" s="21" t="str">
        <x:v>整数 0–100</x:v>
      </x:c>
      <x:c r="D35" s="21" t="str">
        <x:v>否</x:v>
      </x:c>
      <x:c r="E35" s="21" t="str">
        <x:v>与精神领域、自然魔法及仪式的亲近程度</x:v>
      </x:c>
      <x:c r="F35" s="21" t="str">
        <x:v>参见主表</x:v>
      </x:c>
      <x:c r="G35" s="21" t="str">
        <x:v>事件选择、对话语气与行为边界</x:v>
      </x:c>
    </x:row>
    <x:row r="36" ht="42" customHeight="1">
      <x:c r="A36" s="21" t="str">
        <x:v>命运态度</x:v>
      </x:c>
      <x:c r="B36" s="21" t="str">
        <x:v>策划人格字段</x:v>
      </x:c>
      <x:c r="C36" s="21" t="str">
        <x:v>整数 0–100</x:v>
      </x:c>
      <x:c r="D36" s="21" t="str">
        <x:v>否</x:v>
      </x:c>
      <x:c r="E36" s="21" t="str">
        <x:v>相信使命、宿命或宏大目标的程度</x:v>
      </x:c>
      <x:c r="F36" s="21" t="str">
        <x:v>参见主表</x:v>
      </x:c>
      <x:c r="G36" s="21" t="str">
        <x:v>事件选择、对话语气与行为边界</x:v>
      </x:c>
    </x:row>
    <x:row r="37" ht="42" customHeight="1">
      <x:c r="A37" s="21" t="str">
        <x:v>共情能力</x:v>
      </x:c>
      <x:c r="B37" s="21" t="str">
        <x:v>策划人格字段</x:v>
      </x:c>
      <x:c r="C37" s="21" t="str">
        <x:v>整数 0–100</x:v>
      </x:c>
      <x:c r="D37" s="21" t="str">
        <x:v>否</x:v>
      </x:c>
      <x:c r="E37" s="21" t="str">
        <x:v>感知并重视他人处境的程度</x:v>
      </x:c>
      <x:c r="F37" s="21" t="str">
        <x:v>参见主表</x:v>
      </x:c>
      <x:c r="G37" s="21" t="str">
        <x:v>事件选择、对话语气与行为边界</x:v>
      </x:c>
    </x:row>
    <x:row r="38" ht="42" customHeight="1">
      <x:c r="A38" s="21" t="str">
        <x:v>自律程度</x:v>
      </x:c>
      <x:c r="B38" s="21" t="str">
        <x:v>策划人格字段</x:v>
      </x:c>
      <x:c r="C38" s="21" t="str">
        <x:v>整数 0–100</x:v>
      </x:c>
      <x:c r="D38" s="21" t="str">
        <x:v>否</x:v>
      </x:c>
      <x:c r="E38" s="21" t="str">
        <x:v>控制冲动并长期遵守原则的程度</x:v>
      </x:c>
      <x:c r="F38" s="21" t="str">
        <x:v>参见主表</x:v>
      </x:c>
      <x:c r="G38" s="21" t="str">
        <x:v>事件选择、对话语气与行为边界</x:v>
      </x:c>
    </x:row>
    <x:row r="39" ht="42" customHeight="1">
      <x:c r="A39" s="21" t="str">
        <x:v>风险偏好</x:v>
      </x:c>
      <x:c r="B39" s="21" t="str">
        <x:v>策划人格字段</x:v>
      </x:c>
      <x:c r="C39" s="21" t="str">
        <x:v>整数 0–100</x:v>
      </x:c>
      <x:c r="D39" s="21" t="str">
        <x:v>否</x:v>
      </x:c>
      <x:c r="E39" s="21" t="str">
        <x:v>主动承担危险与不确定性的程度</x:v>
      </x:c>
      <x:c r="F39" s="21" t="str">
        <x:v>参见主表</x:v>
      </x:c>
      <x:c r="G39" s="21" t="str">
        <x:v>事件选择、对话语气与行为边界</x:v>
      </x:c>
    </x:row>
    <x:row r="40" ht="42" customHeight="1">
      <x:c r="A40" s="21" t="str">
        <x:v>幽默方式</x:v>
      </x:c>
      <x:c r="B40" s="21" t="str">
        <x:v>策划人格字段</x:v>
      </x:c>
      <x:c r="C40" s="21" t="str">
        <x:v>文本</x:v>
      </x:c>
      <x:c r="D40" s="21" t="str">
        <x:v>否</x:v>
      </x:c>
      <x:c r="E40" s="21" t="str">
        <x:v>用于描述角色并约束 AI 行为；填写时保持单一语义。</x:v>
      </x:c>
      <x:c r="F40" s="21" t="str">
        <x:v>参见主表</x:v>
      </x:c>
      <x:c r="G40" s="21" t="str">
        <x:v>事件选择、对话语气与行为边界</x:v>
      </x:c>
    </x:row>
    <x:row r="41" ht="42" customHeight="1">
      <x:c r="A41" s="21" t="str">
        <x:v>语言风格摘要</x:v>
      </x:c>
      <x:c r="B41" s="21" t="str">
        <x:v>策划人格字段</x:v>
      </x:c>
      <x:c r="C41" s="21" t="str">
        <x:v>文本</x:v>
      </x:c>
      <x:c r="D41" s="21" t="str">
        <x:v>是</x:v>
      </x:c>
      <x:c r="E41" s="21" t="str">
        <x:v>用于描述角色并约束 AI 行为；填写时保持单一语义。</x:v>
      </x:c>
      <x:c r="F41" s="21" t="str">
        <x:v>参见主表</x:v>
      </x:c>
      <x:c r="G41" s="21" t="str">
        <x:v>事件选择、对话语气与行为边界</x:v>
      </x:c>
    </x:row>
    <x:row r="42" ht="42" customHeight="1">
      <x:c r="A42" s="21" t="str">
        <x:v>禁止偏离行为</x:v>
      </x:c>
      <x:c r="B42" s="21" t="str">
        <x:v>策划人格字段</x:v>
      </x:c>
      <x:c r="C42" s="21" t="str">
        <x:v>文本</x:v>
      </x:c>
      <x:c r="D42" s="21" t="str">
        <x:v>是</x:v>
      </x:c>
      <x:c r="E42" s="21" t="str">
        <x:v>用于描述角色并约束 AI 行为；填写时保持单一语义。</x:v>
      </x:c>
      <x:c r="F42" s="21" t="str">
        <x:v>参见主表</x:v>
      </x:c>
      <x:c r="G42" s="21" t="str">
        <x:v>事件选择、对话语气与行为边界</x:v>
      </x:c>
    </x:row>
    <x:row r="43" ht="42" customHeight="1">
      <x:c r="A43" s="21" t="str">
        <x:v>编辑备注</x:v>
      </x:c>
      <x:c r="B43" s="21" t="str">
        <x:v>策划人格字段</x:v>
      </x:c>
      <x:c r="C43" s="21" t="str">
        <x:v>文本</x:v>
      </x:c>
      <x:c r="D43" s="21" t="str">
        <x:v>否</x:v>
      </x:c>
      <x:c r="E43" s="21" t="str">
        <x:v>用于描述角色并约束 AI 行为；填写时保持单一语义。</x:v>
      </x:c>
      <x:c r="F43" s="21" t="str">
        <x:v>参见主表</x:v>
      </x:c>
      <x:c r="G43" s="21" t="str">
        <x:v>事件选择、对话语气与行为边界</x:v>
      </x:c>
    </x:row>
    <x:row r="44" ht="42" customHeight="1">
      <x:c r="A44" s="22" t="str">
        <x:v>资料完整度</x:v>
      </x:c>
      <x:c r="B44" s="22" t="str">
        <x:v>事实/系统字段</x:v>
      </x:c>
      <x:c r="C44" s="22" t="str">
        <x:v>公式百分比</x:v>
      </x:c>
      <x:c r="D44" s="22" t="str">
        <x:v>否</x:v>
      </x:c>
      <x:c r="E44" s="22" t="str">
        <x:v>公式：人格推断字段的非空比例</x:v>
      </x:c>
      <x:c r="F44" s="22" t="str">
        <x:v>参见主表</x:v>
      </x:c>
      <x:c r="G44" s="22" t="str">
        <x:v>事件选择、对话语气与行为边界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48" hidden="0" customWidth="1"/>
    <x:col min="4" max="4" width="24" hidden="0" customWidth="1"/>
    <x:col min="5" max="5" width="14" hidden="0" customWidth="1"/>
    <x:col min="6" max="6" width="38" hidden="0" customWidth="1"/>
  </x:cols>
  <x:sheetData>
    <x:row r="1" ht="32" customHeight="1">
      <x:c r="A1" s="3" t="str">
        <x:v>枚举与评分锚点</x:v>
      </x:c>
      <x:c r="B1" s="3"/>
      <x:c r="C1" s="3"/>
      <x:c r="D1" s="3"/>
      <x:c r="E1" s="3"/>
      <x:c r="F1" s="3"/>
    </x:row>
    <x:row r="2" ht="34" customHeight="1">
      <x:c r="A2" s="7" t="str">
        <x:v>统一录入尺度，避免不同编辑人员使用相同分数表达不同含义。</x:v>
      </x:c>
      <x:c r="B2" s="7"/>
      <x:c r="C2" s="7"/>
      <x:c r="D2" s="7"/>
      <x:c r="E2" s="7"/>
      <x:c r="F2" s="7"/>
    </x:row>
    <x:row r="4">
      <x:c r="A4" s="12" t="str">
        <x:v>类型</x:v>
      </x:c>
      <x:c r="B4" s="12" t="str">
        <x:v>值/区间</x:v>
      </x:c>
      <x:c r="C4" s="12" t="str">
        <x:v>解释</x:v>
      </x:c>
      <x:c r="D4" s="12" t="str">
        <x:v>录入示例</x:v>
      </x:c>
      <x:c r="E4" s="12" t="str">
        <x:v>是否可扩展</x:v>
      </x:c>
      <x:c r="F4" s="12" t="str">
        <x:v>备注</x:v>
      </x:c>
    </x:row>
    <x:row r="5" ht="36" customHeight="1">
      <x:c r="A5" s="20" t="str">
        <x:v>审核状态</x:v>
      </x:c>
      <x:c r="B5" s="20" t="str">
        <x:v>待补充</x:v>
      </x:c>
      <x:c r="C5" s="20" t="str">
        <x:v>关键字段为空</x:v>
      </x:c>
      <x:c r="D5" s="20" t="str"/>
      <x:c r="E5" s="20" t="str">
        <x:v>否</x:v>
      </x:c>
      <x:c r="F5" s="20" t="str">
        <x:v>不得进入正式 AI 上下文</x:v>
      </x:c>
    </x:row>
    <x:row r="6" ht="36" customHeight="1">
      <x:c r="A6" s="21" t="str">
        <x:v>审核状态</x:v>
      </x:c>
      <x:c r="B6" s="21" t="str">
        <x:v>待复核</x:v>
      </x:c>
      <x:c r="C6" s="21" t="str">
        <x:v>已填写但未通过世界观审核</x:v>
      </x:c>
      <x:c r="D6" s="21" t="str"/>
      <x:c r="E6" s="21" t="str">
        <x:v>否</x:v>
      </x:c>
      <x:c r="F6" s="21" t="str">
        <x:v>默认状态</x:v>
      </x:c>
    </x:row>
    <x:row r="7" ht="36" customHeight="1">
      <x:c r="A7" s="21" t="str">
        <x:v>审核状态</x:v>
      </x:c>
      <x:c r="B7" s="21" t="str">
        <x:v>已复核</x:v>
      </x:c>
      <x:c r="C7" s="21" t="str">
        <x:v>通过至少一名世界观编辑审核</x:v>
      </x:c>
      <x:c r="D7" s="21" t="str"/>
      <x:c r="E7" s="21" t="str">
        <x:v>否</x:v>
      </x:c>
      <x:c r="F7" s="21" t="str">
        <x:v>允许用于生成</x:v>
      </x:c>
    </x:row>
    <x:row r="8" ht="36" customHeight="1">
      <x:c r="A8" s="21" t="str">
        <x:v>审核状态</x:v>
      </x:c>
      <x:c r="B8" s="21" t="str">
        <x:v>锁定</x:v>
      </x:c>
      <x:c r="C8" s="21" t="str">
        <x:v>版本发布后冻结</x:v>
      </x:c>
      <x:c r="D8" s="21" t="str"/>
      <x:c r="E8" s="21" t="str">
        <x:v>否</x:v>
      </x:c>
      <x:c r="F8" s="21" t="str">
        <x:v>变更需升级版本</x:v>
      </x:c>
    </x:row>
    <x:row r="9" ht="36" customHeight="1">
      <x:c r="A9" s="21" t="str">
        <x:v>人格分数</x:v>
      </x:c>
      <x:c r="B9" s="21" t="str">
        <x:v>0–20</x:v>
      </x:c>
      <x:c r="C9" s="21" t="str">
        <x:v>明显排斥或几乎不具备</x:v>
      </x:c>
      <x:c r="D9" s="21" t="str">
        <x:v>和平倾向 10</x:v>
      </x:c>
      <x:c r="E9" s="21" t="str">
        <x:v>否</x:v>
      </x:c>
      <x:c r="F9" s="21" t="str">
        <x:v>极端低值需有剧情依据</x:v>
      </x:c>
    </x:row>
    <x:row r="10" ht="36" customHeight="1">
      <x:c r="A10" s="21" t="str">
        <x:v>人格分数</x:v>
      </x:c>
      <x:c r="B10" s="21" t="str">
        <x:v>21–40</x:v>
      </x:c>
      <x:c r="C10" s="21" t="str">
        <x:v>偏低</x:v>
      </x:c>
      <x:c r="D10" s="21" t="str">
        <x:v>权力倾向 35</x:v>
      </x:c>
      <x:c r="E10" s="21" t="str">
        <x:v>否</x:v>
      </x:c>
      <x:c r="F10" s="21" t="str"/>
    </x:row>
    <x:row r="11" ht="36" customHeight="1">
      <x:c r="A11" s="21" t="str">
        <x:v>人格分数</x:v>
      </x:c>
      <x:c r="B11" s="21" t="str">
        <x:v>41–60</x:v>
      </x:c>
      <x:c r="C11" s="21" t="str">
        <x:v>中性或情境化</x:v>
      </x:c>
      <x:c r="D11" s="21" t="str">
        <x:v>风险偏好 55</x:v>
      </x:c>
      <x:c r="E11" s="21" t="str">
        <x:v>否</x:v>
      </x:c>
      <x:c r="F11" s="21" t="str"/>
    </x:row>
    <x:row r="12" ht="36" customHeight="1">
      <x:c r="A12" s="21" t="str">
        <x:v>人格分数</x:v>
      </x:c>
      <x:c r="B12" s="21" t="str">
        <x:v>61–80</x:v>
      </x:c>
      <x:c r="C12" s="21" t="str">
        <x:v>明显倾向</x:v>
      </x:c>
      <x:c r="D12" s="21" t="str">
        <x:v>共情能力 76</x:v>
      </x:c>
      <x:c r="E12" s="21" t="str">
        <x:v>否</x:v>
      </x:c>
      <x:c r="F12" s="21" t="str"/>
    </x:row>
    <x:row r="13" ht="36" customHeight="1">
      <x:c r="A13" s="21" t="str">
        <x:v>人格分数</x:v>
      </x:c>
      <x:c r="B13" s="21" t="str">
        <x:v>81–100</x:v>
      </x:c>
      <x:c r="C13" s="21" t="str">
        <x:v>核心驱动力级别</x:v>
      </x:c>
      <x:c r="D13" s="21" t="str">
        <x:v>自律程度 96</x:v>
      </x:c>
      <x:c r="E13" s="21" t="str">
        <x:v>否</x:v>
      </x:c>
      <x:c r="F13" s="21" t="str">
        <x:v>极端高值需写明代价</x:v>
      </x:c>
    </x:row>
    <x:row r="14" ht="36" customHeight="1">
      <x:c r="A14" s="21" t="str">
        <x:v>关系姿态</x:v>
      </x:c>
      <x:c r="B14" s="21" t="str">
        <x:v>敌对/警惕/中立/友善/信任</x:v>
      </x:c>
      <x:c r="C14" s="21" t="str">
        <x:v>角色对玩家的基础距离</x:v>
      </x:c>
      <x:c r="D14" s="21" t="str">
        <x:v>警惕</x:v>
      </x:c>
      <x:c r="E14" s="21" t="str">
        <x:v>是</x:v>
      </x:c>
      <x:c r="F14" s="21" t="str">
        <x:v>建议后端使用固定枚举</x:v>
      </x:c>
    </x:row>
    <x:row r="15" ht="36" customHeight="1">
      <x:c r="A15" s="22" t="str">
        <x:v>冲突方式</x:v>
      </x:c>
      <x:c r="B15" s="22" t="str">
        <x:v>回避/协商/试探/威慑/行动/决斗</x:v>
      </x:c>
      <x:c r="C15" s="22" t="str">
        <x:v>主要处理冲突的方法</x:v>
      </x:c>
      <x:c r="D15" s="22" t="str">
        <x:v>试探</x:v>
      </x:c>
      <x:c r="E15" s="22" t="str">
        <x:v>是</x:v>
      </x:c>
      <x:c r="F15" s="22" t="str">
        <x:v>可多选但需排序</x:v>
      </x:c>
    </x:row>
  </x:sheetData>
  <x:mergeCells>
    <x:mergeCell ref="A1:F1"/>
    <x:mergeCell ref="A2:F2"/>
  </x:mergeCells>
  <x:pageMargins left="0.7" right="0.7" top="0.75" bottom="0.75" header="0.3" footer="0.3"/>
</x:worksheet>
</file>